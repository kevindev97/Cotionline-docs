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G. SISTEMAS\PROYECTO DE GRADO\MARKDOWN\Cotionline-docs\Plantillas\"/>
    </mc:Choice>
  </mc:AlternateContent>
  <xr:revisionPtr revIDLastSave="0" documentId="13_ncr:1_{94EC54F3-7E71-400B-9650-EB8982EC1AD2}" xr6:coauthVersionLast="47" xr6:coauthVersionMax="47" xr10:uidLastSave="{00000000-0000-0000-0000-000000000000}"/>
  <bookViews>
    <workbookView xWindow="-98" yWindow="-98" windowWidth="21795" windowHeight="12975" firstSheet="1" activeTab="5" xr2:uid="{36012E7C-B3F4-482B-AC16-7CCB81B9AE88}"/>
  </bookViews>
  <sheets>
    <sheet name="Modelo dominio anémico contexto" sheetId="61" r:id="rId1"/>
    <sheet name="Listado Objetos de Dominio" sheetId="67" r:id="rId2"/>
    <sheet name="Valores" sheetId="69" r:id="rId3"/>
    <sheet name="Departamento" sheetId="66" r:id="rId4"/>
    <sheet name="Ciudad" sheetId="24" r:id="rId5"/>
    <sheet name="Cliente" sheetId="68" r:id="rId6"/>
    <sheet name="Negocio" sheetId="70" r:id="rId7"/>
    <sheet name="Sede" sheetId="71" r:id="rId8"/>
    <sheet name="Colaborador" sheetId="72" r:id="rId9"/>
    <sheet name="Solicitud Cotizacion" sheetId="73" r:id="rId10"/>
    <sheet name="Producto" sheetId="74" r:id="rId11"/>
    <sheet name="Cotizacion" sheetId="75" r:id="rId12"/>
  </sheets>
  <definedNames>
    <definedName name="_xlnm._FilterDatabase" localSheetId="1" hidden="1">'Listado Objetos de Dominio'!$A$2:$B$5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6" l="1"/>
  <c r="B3" i="75"/>
  <c r="B2" i="75"/>
  <c r="T4" i="75"/>
  <c r="S4" i="75"/>
  <c r="R4" i="75"/>
  <c r="Q4" i="75"/>
  <c r="B3" i="74"/>
  <c r="B2" i="74"/>
  <c r="T4" i="74"/>
  <c r="S4" i="74"/>
  <c r="R4" i="74"/>
  <c r="Q4" i="74"/>
  <c r="B3" i="73"/>
  <c r="B3" i="72"/>
  <c r="B2" i="73"/>
  <c r="T4" i="73"/>
  <c r="S4" i="73"/>
  <c r="R4" i="73"/>
  <c r="Q4" i="73"/>
  <c r="B2" i="72"/>
  <c r="B2" i="71"/>
  <c r="B2" i="70"/>
  <c r="T4" i="72"/>
  <c r="S4" i="72"/>
  <c r="R4" i="72"/>
  <c r="Q4" i="72"/>
  <c r="B3" i="71"/>
  <c r="T4" i="71"/>
  <c r="S4" i="71"/>
  <c r="R4" i="71"/>
  <c r="Q4" i="71"/>
  <c r="S4" i="70"/>
  <c r="R4" i="70"/>
  <c r="T4" i="70"/>
  <c r="Q4" i="70"/>
  <c r="B3" i="70"/>
  <c r="Q4" i="66"/>
  <c r="B3" i="68"/>
  <c r="B2" i="68"/>
  <c r="T4" i="68"/>
  <c r="S4" i="68"/>
  <c r="R4" i="68"/>
  <c r="Q4" i="68"/>
  <c r="B3" i="24"/>
  <c r="B2" i="24"/>
  <c r="T4" i="24"/>
  <c r="S4" i="24"/>
  <c r="R4" i="24"/>
  <c r="Q4" i="24"/>
  <c r="T4" i="66"/>
  <c r="S4" i="66"/>
  <c r="R4" i="66"/>
  <c r="B2" i="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tc={8958AFEB-7B35-40FA-A515-70C97C5FC926}</author>
  </authors>
  <commentList>
    <comment ref="B5" authorId="0" shapeId="0" xr:uid="{8958AFEB-7B35-40FA-A515-70C97C5FC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qué no hace CRUD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tc={3AF7547D-D3F4-4E70-B936-A1A2AC6A8124}</author>
  </authors>
  <commentList>
    <comment ref="A8" authorId="0" shapeId="0" xr:uid="{3AF7547D-D3F4-4E70-B936-A1A2AC6A81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Tengo dudas con el tema del Boolean
Respuesta:
    Cambiar el nombre del campo por SNAceptada
Respuesta:
    Se cambia el tipo de dato por tipo texto, ya que son tres estados de la entidad
</t>
      </text>
    </comment>
  </commentList>
</comments>
</file>

<file path=xl/sharedStrings.xml><?xml version="1.0" encoding="utf-8"?>
<sst xmlns="http://schemas.openxmlformats.org/spreadsheetml/2006/main" count="725" uniqueCount="211">
  <si>
    <t>Subdominio/Contexto:</t>
  </si>
  <si>
    <t>Cliente</t>
  </si>
  <si>
    <t>Nombre</t>
  </si>
  <si>
    <t>Descripción</t>
  </si>
  <si>
    <t>Tipo</t>
  </si>
  <si>
    <t>Contexto</t>
  </si>
  <si>
    <t>Departamento</t>
  </si>
  <si>
    <t>Indica el departamento al que pertenece la ciudad donde reside el cliente</t>
  </si>
  <si>
    <t>Propio</t>
  </si>
  <si>
    <t>Ciudad</t>
  </si>
  <si>
    <t>Se refiere a la ciudad donde reside el cliente y/o donde está ubicado su negocio</t>
  </si>
  <si>
    <t>Describe al usuario que realiza las solicitudes de cotización en la aplicación</t>
  </si>
  <si>
    <t>Negocio</t>
  </si>
  <si>
    <t>Se refiere al negocio que ha registrado el cliente en la aplicación</t>
  </si>
  <si>
    <t>Sede</t>
  </si>
  <si>
    <t>Se refiere a la o las sedes/sucursales que posee el negocio del cliente</t>
  </si>
  <si>
    <t>Colaborador</t>
  </si>
  <si>
    <t>Indica a un usuario externo encargado de ayudar al cliente con las solicitudes de cotización</t>
  </si>
  <si>
    <t>Solicitud cotización</t>
  </si>
  <si>
    <t>Se refiere al documento que diligencia el cliente solicitando la cotización de ciertos productos a los proveedores</t>
  </si>
  <si>
    <t>Producto</t>
  </si>
  <si>
    <t>Indica el producto que se crea en la solicitud de cotización</t>
  </si>
  <si>
    <t>Cotización</t>
  </si>
  <si>
    <t>Se refiere a la respuesta que da el proveedor a la solicitud de cotización del cliente</t>
  </si>
  <si>
    <t>Referenciado</t>
  </si>
  <si>
    <t>Proveedor</t>
  </si>
  <si>
    <t>Tipo Objeto Dominio</t>
  </si>
  <si>
    <t>Cuando el objeto de dominio es parte del contexto actual</t>
  </si>
  <si>
    <t>Cuando el objeto de dominio es parte de otro contexto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</si>
  <si>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</si>
  <si>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</si>
  <si>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</si>
  <si>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</si>
  <si>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</si>
  <si>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</si>
  <si>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</si>
  <si>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</si>
  <si>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</si>
  <si>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</si>
  <si>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</si>
  <si>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</si>
  <si>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</si>
  <si>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</si>
  <si>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</si>
  <si>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</si>
  <si>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</si>
  <si>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</si>
  <si>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Codigo</t>
  </si>
  <si>
    <t>Entero</t>
  </si>
  <si>
    <t xml:space="preserve"> </t>
  </si>
  <si>
    <t>Mayor que 0</t>
  </si>
  <si>
    <t>Si</t>
  </si>
  <si>
    <t>No</t>
  </si>
  <si>
    <t>Atributo que representa el código que identifica a un departamento determinado y asegura que sea único.</t>
  </si>
  <si>
    <t>Texto</t>
  </si>
  <si>
    <t>Solo letras y espacios</t>
  </si>
  <si>
    <t>Atributo que representa el nombre que se le asigna a un departamento determinado.</t>
  </si>
  <si>
    <t>Combinaciones únicas</t>
  </si>
  <si>
    <t>Nombre combinación</t>
  </si>
  <si>
    <t>Atributos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</si>
  <si>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</si>
  <si>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</si>
  <si>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</si>
  <si>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</si>
  <si>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</si>
  <si>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</si>
  <si>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</si>
  <si>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</si>
  <si>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</si>
  <si>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</si>
  <si>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Consultar</t>
  </si>
  <si>
    <t>Servicio de negocio que permite consultar la información de los departamentos.</t>
  </si>
  <si>
    <t>Una entidad de tipo Departamento, que contendrá los filtros de consulta permitidos de acuerdo al requisito de información.</t>
  </si>
  <si>
    <t>Un listado con la información de todos los departamentos que cumplen con los parámetros de filtrado recibidos.</t>
  </si>
  <si>
    <t>N/A</t>
  </si>
  <si>
    <t>Número entero</t>
  </si>
  <si>
    <t>Mayo que 0</t>
  </si>
  <si>
    <t>Aplican las reglas definidas en el requisito de información propio de Departamento</t>
  </si>
  <si>
    <t>Servicio de negocio que permite consultar la información de las ciudades.</t>
  </si>
  <si>
    <t>Una entidad de tipo Ciudad, que contendrá los filtros de consulta permitidos de acuerdo al requisito de información.</t>
  </si>
  <si>
    <t>Un listado con la información de todas las ciudades que cumplen con los parámetros de filtrado recibidos.</t>
  </si>
  <si>
    <t>Identificacion</t>
  </si>
  <si>
    <t>Alfanumerico</t>
  </si>
  <si>
    <t>Letras y numeros</t>
  </si>
  <si>
    <t>Letras y espacios</t>
  </si>
  <si>
    <t>Nombre del cliente</t>
  </si>
  <si>
    <t>Apellido</t>
  </si>
  <si>
    <t>Apellido del cliente</t>
  </si>
  <si>
    <t>Correo</t>
  </si>
  <si>
    <t>Debe contener el caracter "@" para ser valido</t>
  </si>
  <si>
    <t>Correo electronico del cliente</t>
  </si>
  <si>
    <t>Contraseña</t>
  </si>
  <si>
    <t>Debe contener al menos: una mayuscula, un número y un carácter especial'</t>
  </si>
  <si>
    <t>Contraseña que asigna el cliente para acceder a la aplicación</t>
  </si>
  <si>
    <t>Aplica la regla de negocio establecida en el dominio de Ciudad</t>
  </si>
  <si>
    <t>Ciudad de residencia del cliente</t>
  </si>
  <si>
    <t>Registrar</t>
  </si>
  <si>
    <t>Servicio de negocio que permite registrar un cliente a la aplicacion</t>
  </si>
  <si>
    <t>Información del usuario a registrarse</t>
  </si>
  <si>
    <t>Mensaje de confirmación de registro exitoso del cliente en la aplicacion</t>
  </si>
  <si>
    <t>No puede haber 2 clientes con la misma informacion de registro en la aplicacion</t>
  </si>
  <si>
    <t>Actualizar datos</t>
  </si>
  <si>
    <t xml:space="preserve">Servicio de negocio que permite editar/actualizar   la informacion del cliente </t>
  </si>
  <si>
    <t>Servicio de negocio que permite consultar la información del cliente</t>
  </si>
  <si>
    <t>Eliminar</t>
  </si>
  <si>
    <t>Servicio de negocio que permite eliminar la cuenta e información del cliente</t>
  </si>
  <si>
    <t>Login</t>
  </si>
  <si>
    <t>Servicio que permite al cliente iniciar sesión</t>
  </si>
  <si>
    <t>Adquirir plan de suscripción</t>
  </si>
  <si>
    <t>Servicio que permite al cliente elegir uno de los planes de pago para acceder a todas las funciones de la aplicación</t>
  </si>
  <si>
    <t>Realiza solicitud de cotizacion</t>
  </si>
  <si>
    <t>Servicio de negocio que permite al cliente realizar una solicitud de cotizacion de diferentes productos a los proveedores</t>
  </si>
  <si>
    <t xml:space="preserve">El cliente no puede crear mas de una solicitud de cotizacion igual a otra </t>
  </si>
  <si>
    <t>Invitar colaborador</t>
  </si>
  <si>
    <t>Servicio de negocio que permite al cliente invitar a un usuario externo para solicitar la ayuda en la realización y análisis de las cotizaciones</t>
  </si>
  <si>
    <t>Aceptar cotizacion</t>
  </si>
  <si>
    <t>Servicio que permite al cliente realizar la confirmación y aceptación de la cotizacion enviada por el proveedor</t>
  </si>
  <si>
    <t>Cambiar contraseña</t>
  </si>
  <si>
    <t>Servicio de negocio que permite al cliente cambiar/restablecer la contraseña de su cuenta</t>
  </si>
  <si>
    <t>Crear producto</t>
  </si>
  <si>
    <t>Servicio de negocio qye permite al cliente crear un nuevo producto en la aplicacion</t>
  </si>
  <si>
    <t>Editar producto</t>
  </si>
  <si>
    <t>Servicio de negocio que permite a un cliente editar la informacion de un producto existente</t>
  </si>
  <si>
    <t>Consultar producto</t>
  </si>
  <si>
    <t>Servicio de negocio que permite consultar los productos existentes en la aplicacion</t>
  </si>
  <si>
    <t>Eliminar producto</t>
  </si>
  <si>
    <t>Servicio de negocio que permite eliminar un producto existente</t>
  </si>
  <si>
    <t>Nit</t>
  </si>
  <si>
    <t>Numero de identificación del negocio, el cual es único</t>
  </si>
  <si>
    <t xml:space="preserve">Nombre del negocio </t>
  </si>
  <si>
    <t>Descripcion</t>
  </si>
  <si>
    <t>Descripcion breve del negocio</t>
  </si>
  <si>
    <t>Dirección</t>
  </si>
  <si>
    <t>Direccion de ubicacion del negocio</t>
  </si>
  <si>
    <t>Aplican las reglas definidas en la entidad Cliente</t>
  </si>
  <si>
    <t xml:space="preserve">Registrar </t>
  </si>
  <si>
    <t xml:space="preserve">Servicio de negocio que permite registrar la informacion del negocio que pertenece al cliente </t>
  </si>
  <si>
    <t>Mensaje de confirmacion exitoso de actualizacion del negocio</t>
  </si>
  <si>
    <t>Servicio de negocio que permite actualizar los datos del negocio de un cliente</t>
  </si>
  <si>
    <t>Servicio de negocio que permite consultar un negocio existente en el sistema</t>
  </si>
  <si>
    <t>Servicio de negocio que permite dar de baja a un negocio existente</t>
  </si>
  <si>
    <t>numero entero</t>
  </si>
  <si>
    <t>Numero de identificación de la sede, el cual es único</t>
  </si>
  <si>
    <t xml:space="preserve">Nombre de la sede </t>
  </si>
  <si>
    <t>Direccion</t>
  </si>
  <si>
    <t>Direccion de ubicacion de la sede</t>
  </si>
  <si>
    <t>Aplica la regla de negocio establecida en el dominio de Negocio</t>
  </si>
  <si>
    <t>Crear</t>
  </si>
  <si>
    <t xml:space="preserve">Servicio de negocio que permite registrar un nueva sede que pertenece al negocio del cliente </t>
  </si>
  <si>
    <t>Campos correspondientes a la informacion de la sede que el cliente desea editar</t>
  </si>
  <si>
    <t>Mensaje de confirmacion exitoso de actualizacion de la sede</t>
  </si>
  <si>
    <t>Servicio que permite actualizar la informacion de una sede existente</t>
  </si>
  <si>
    <t xml:space="preserve">consultar </t>
  </si>
  <si>
    <t>Servicio que permite consultar las sede existentes en la aplicacion</t>
  </si>
  <si>
    <t>eliminar</t>
  </si>
  <si>
    <t>Servicio que permite eliminar una sede existente</t>
  </si>
  <si>
    <t>Numero de identificación del colaborador, el cual es único</t>
  </si>
  <si>
    <t>Correo electronico del colaborador</t>
  </si>
  <si>
    <t>Aplica la regla de negocio establecida en el dominio de Cliente</t>
  </si>
  <si>
    <t>Estado de invitacion</t>
  </si>
  <si>
    <t>Pendiente</t>
  </si>
  <si>
    <t>Estado de la invitacion por parte del cliente (pendiente, aceptada, rechazada)</t>
  </si>
  <si>
    <t>Invitar</t>
  </si>
  <si>
    <t>Servicio de negocio que permite al cliente invitar a un colaborador para que le ayude en la realizacion de las solicitudes de cotizacion.</t>
  </si>
  <si>
    <t>Campo de correo electronico para enviar la invitacion al colaborador</t>
  </si>
  <si>
    <t>Mensaje de confirmacion exitoso del envío de la invitacion al colaborador</t>
  </si>
  <si>
    <t>Numero de identificación de la solicitud de cotizacion, el cual es único</t>
  </si>
  <si>
    <t>Fecha de creacion</t>
  </si>
  <si>
    <t>Fecha</t>
  </si>
  <si>
    <t>Fecha de creacion de la solicitud de cotizacion</t>
  </si>
  <si>
    <t>Fecha limite de respuesta</t>
  </si>
  <si>
    <t>Fecha limite de respuesta de la solicitud de cotizacion</t>
  </si>
  <si>
    <t>Estado de solicitud</t>
  </si>
  <si>
    <t>Estado de la solicitud de cotizacion</t>
  </si>
  <si>
    <t>Aplica la regla de negocio establecida en el dominio de Sede</t>
  </si>
  <si>
    <t>Aplica la regla de negocio establecidad en el dominio de Producto</t>
  </si>
  <si>
    <t>crear</t>
  </si>
  <si>
    <t>Servicio de negocio que permite crear una nueva solicitud de cotización</t>
  </si>
  <si>
    <t>editar</t>
  </si>
  <si>
    <t>Servicio que permite editar la información de una solicitud existente</t>
  </si>
  <si>
    <t>consultar</t>
  </si>
  <si>
    <t>Servicio que permite consultar las solicitudes de cotizacion realizadas y sus estados</t>
  </si>
  <si>
    <t>servicio que permite eliminar una solicitud de cotizacion existente</t>
  </si>
  <si>
    <t>Publicar</t>
  </si>
  <si>
    <t>Servicio que permite publicar una cotización en la plataforma para ser vista por los proveedores</t>
  </si>
  <si>
    <t>codigo</t>
  </si>
  <si>
    <t>Numero de identificación del producto, el cual es único</t>
  </si>
  <si>
    <t>Nombre del producto</t>
  </si>
  <si>
    <t>Cantidad</t>
  </si>
  <si>
    <t>Numerico</t>
  </si>
  <si>
    <t xml:space="preserve">Cantidad de producto </t>
  </si>
  <si>
    <t>Unidad de medida</t>
  </si>
  <si>
    <t>Unidad de medida del producto</t>
  </si>
  <si>
    <t>Breve descripcion del producto</t>
  </si>
  <si>
    <t>Fecha de emision</t>
  </si>
  <si>
    <t>Fecha en que se genera la cotizacion</t>
  </si>
  <si>
    <t>Fecha de expiracion</t>
  </si>
  <si>
    <t>Fecha limite hasta la cual la cotizacion es valida</t>
  </si>
  <si>
    <t>Breve descripcion de la cotizacion en la que se incluye informacion sobre descuentos, metodos de pago</t>
  </si>
  <si>
    <t>Tiempo de entrega</t>
  </si>
  <si>
    <t>Fecha en que se entregarian los productos solicitados al cliente</t>
  </si>
  <si>
    <t>Solicitud de cotizacion</t>
  </si>
  <si>
    <t>Aplica la regla de negocio establecida en el dominio de Solicitud de cotizacion</t>
  </si>
  <si>
    <t>Crear cotización</t>
  </si>
  <si>
    <t>Servicio que permite crear una cotización a partir de una solicitud de cotización</t>
  </si>
  <si>
    <t>Servicio que permite consultar las cotizaciones existentes</t>
  </si>
  <si>
    <t>Editar</t>
  </si>
  <si>
    <t>Servicio que permite editar una cotización existente</t>
  </si>
  <si>
    <t>Id</t>
  </si>
  <si>
    <t>Letras, números y simbolos</t>
  </si>
  <si>
    <t>Id del cliente, el cual es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</si>
</sst>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quotePrefix="1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quotePrefix="1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2" fillId="8" borderId="9" xfId="2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2" fillId="10" borderId="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9" xfId="0" applyFill="1" applyBorder="1"/>
    <xf numFmtId="0" fontId="1" fillId="2" borderId="2" xfId="0" applyFont="1" applyFill="1" applyBorder="1" applyAlignment="1">
      <alignment vertical="center"/>
    </xf>
    <xf numFmtId="0" fontId="6" fillId="6" borderId="0" xfId="2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6" fillId="6" borderId="12" xfId="2" applyFon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0" fillId="6" borderId="12" xfId="0" applyFill="1" applyBorder="1" applyAlignment="1">
      <alignment vertical="center" wrapText="1"/>
    </xf>
    <xf numFmtId="0" fontId="4" fillId="7" borderId="12" xfId="0" applyFont="1" applyFill="1" applyBorder="1" applyAlignment="1">
      <alignment vertical="center"/>
    </xf>
    <xf numFmtId="0" fontId="4" fillId="7" borderId="12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10" borderId="12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4" fillId="7" borderId="13" xfId="0" applyFont="1" applyFill="1" applyBorder="1" applyAlignment="1">
      <alignment vertical="center"/>
    </xf>
    <xf numFmtId="0" fontId="4" fillId="7" borderId="14" xfId="0" applyFont="1" applyFill="1" applyBorder="1" applyAlignment="1">
      <alignment vertical="center"/>
    </xf>
    <xf numFmtId="0" fontId="4" fillId="7" borderId="14" xfId="0" quotePrefix="1" applyFont="1" applyFill="1" applyBorder="1" applyAlignment="1">
      <alignment vertical="center"/>
    </xf>
    <xf numFmtId="0" fontId="4" fillId="7" borderId="14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10" borderId="14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4" fillId="7" borderId="12" xfId="0" quotePrefix="1" applyFont="1" applyFill="1" applyBorder="1" applyAlignment="1">
      <alignment vertical="center" wrapText="1"/>
    </xf>
    <xf numFmtId="0" fontId="0" fillId="3" borderId="12" xfId="0" applyFill="1" applyBorder="1" applyAlignment="1">
      <alignment horizontal="center" vertical="center"/>
    </xf>
    <xf numFmtId="0" fontId="2" fillId="3" borderId="12" xfId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/>
    </xf>
    <xf numFmtId="0" fontId="2" fillId="3" borderId="14" xfId="1" applyFill="1" applyBorder="1" applyAlignment="1">
      <alignment horizontal="left" vertical="center"/>
    </xf>
    <xf numFmtId="0" fontId="0" fillId="3" borderId="14" xfId="0" applyFill="1" applyBorder="1" applyAlignment="1">
      <alignment vertical="center" wrapText="1"/>
    </xf>
    <xf numFmtId="0" fontId="0" fillId="3" borderId="19" xfId="0" applyFill="1" applyBorder="1" applyAlignment="1">
      <alignment vertical="center" wrapText="1"/>
    </xf>
    <xf numFmtId="0" fontId="0" fillId="3" borderId="15" xfId="0" applyFill="1" applyBorder="1" applyAlignment="1">
      <alignment vertical="center"/>
    </xf>
    <xf numFmtId="0" fontId="4" fillId="7" borderId="20" xfId="0" applyFont="1" applyFill="1" applyBorder="1" applyAlignment="1">
      <alignment vertical="center"/>
    </xf>
    <xf numFmtId="0" fontId="4" fillId="7" borderId="21" xfId="0" applyFont="1" applyFill="1" applyBorder="1" applyAlignment="1">
      <alignment vertical="center"/>
    </xf>
    <xf numFmtId="0" fontId="4" fillId="7" borderId="21" xfId="0" quotePrefix="1" applyFont="1" applyFill="1" applyBorder="1" applyAlignment="1">
      <alignment vertical="center"/>
    </xf>
    <xf numFmtId="0" fontId="4" fillId="7" borderId="21" xfId="0" applyFont="1" applyFill="1" applyBorder="1" applyAlignment="1">
      <alignment vertical="center" wrapText="1"/>
    </xf>
    <xf numFmtId="0" fontId="4" fillId="6" borderId="21" xfId="0" applyFont="1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0" fontId="0" fillId="10" borderId="21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7" borderId="22" xfId="0" applyFont="1" applyFill="1" applyBorder="1" applyAlignment="1">
      <alignment vertical="center"/>
    </xf>
    <xf numFmtId="0" fontId="4" fillId="7" borderId="22" xfId="0" quotePrefix="1" applyFont="1" applyFill="1" applyBorder="1" applyAlignment="1">
      <alignment vertical="center" wrapText="1"/>
    </xf>
    <xf numFmtId="0" fontId="4" fillId="7" borderId="22" xfId="0" applyFont="1" applyFill="1" applyBorder="1" applyAlignment="1">
      <alignment vertical="center" wrapText="1"/>
    </xf>
    <xf numFmtId="0" fontId="4" fillId="6" borderId="22" xfId="0" applyFont="1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10" borderId="22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4" fillId="7" borderId="19" xfId="0" applyFont="1" applyFill="1" applyBorder="1" applyAlignment="1">
      <alignment vertical="center"/>
    </xf>
    <xf numFmtId="0" fontId="4" fillId="7" borderId="23" xfId="0" applyFont="1" applyFill="1" applyBorder="1" applyAlignment="1">
      <alignment vertical="center"/>
    </xf>
    <xf numFmtId="0" fontId="4" fillId="7" borderId="24" xfId="0" applyFont="1" applyFill="1" applyBorder="1" applyAlignment="1">
      <alignment vertical="center"/>
    </xf>
    <xf numFmtId="0" fontId="4" fillId="7" borderId="25" xfId="0" applyFont="1" applyFill="1" applyBorder="1" applyAlignment="1">
      <alignment vertical="center"/>
    </xf>
    <xf numFmtId="0" fontId="4" fillId="7" borderId="14" xfId="0" quotePrefix="1" applyFont="1" applyFill="1" applyBorder="1" applyAlignment="1">
      <alignment vertical="center" wrapText="1"/>
    </xf>
    <xf numFmtId="0" fontId="4" fillId="7" borderId="14" xfId="0" applyFont="1" applyFill="1" applyBorder="1" applyAlignment="1">
      <alignment horizontal="left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4" fillId="7" borderId="0" xfId="0" quotePrefix="1" applyFont="1" applyFill="1" applyAlignment="1">
      <alignment vertical="center" wrapText="1"/>
    </xf>
    <xf numFmtId="0" fontId="0" fillId="0" borderId="12" xfId="0" applyBorder="1" applyAlignment="1">
      <alignment vertical="center"/>
    </xf>
    <xf numFmtId="0" fontId="0" fillId="3" borderId="22" xfId="0" applyFill="1" applyBorder="1" applyAlignment="1">
      <alignment horizontal="left" vertical="center" wrapText="1"/>
    </xf>
    <xf numFmtId="0" fontId="0" fillId="3" borderId="22" xfId="0" applyFill="1" applyBorder="1" applyAlignment="1">
      <alignment vertical="center" wrapText="1"/>
    </xf>
    <xf numFmtId="0" fontId="0" fillId="3" borderId="22" xfId="0" applyFill="1" applyBorder="1" applyAlignment="1">
      <alignment horizontal="center" vertical="center"/>
    </xf>
    <xf numFmtId="0" fontId="2" fillId="3" borderId="22" xfId="1" applyFill="1" applyBorder="1" applyAlignment="1">
      <alignment horizontal="left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25" xfId="0" applyFill="1" applyBorder="1" applyAlignment="1">
      <alignment vertical="center" wrapText="1"/>
    </xf>
    <xf numFmtId="0" fontId="2" fillId="5" borderId="0" xfId="1" applyFill="1" applyBorder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2" fillId="3" borderId="5" xfId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10" borderId="10" xfId="1" applyFill="1" applyBorder="1" applyAlignment="1">
      <alignment horizontal="left" vertical="center"/>
    </xf>
    <xf numFmtId="0" fontId="2" fillId="10" borderId="1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5" borderId="5" xfId="1" applyFill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5" xfId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/>
    </xf>
    <xf numFmtId="0" fontId="0" fillId="6" borderId="16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2" fillId="3" borderId="19" xfId="1" applyFill="1" applyBorder="1" applyAlignment="1">
      <alignment horizontal="left" vertical="center" wrapText="1"/>
    </xf>
    <xf numFmtId="0" fontId="2" fillId="3" borderId="23" xfId="1" applyFill="1" applyBorder="1" applyAlignment="1">
      <alignment horizontal="left" vertical="center" wrapText="1"/>
    </xf>
    <xf numFmtId="0" fontId="2" fillId="3" borderId="13" xfId="1" applyFill="1" applyBorder="1" applyAlignment="1">
      <alignment horizontal="left" vertical="center" wrapText="1"/>
    </xf>
    <xf numFmtId="0" fontId="2" fillId="3" borderId="14" xfId="1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 wrapText="1"/>
    </xf>
    <xf numFmtId="0" fontId="2" fillId="3" borderId="12" xfId="1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2" fillId="3" borderId="22" xfId="1" applyFill="1" applyBorder="1" applyAlignment="1">
      <alignment horizontal="left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left" vertical="center" wrapText="1"/>
    </xf>
    <xf numFmtId="0" fontId="0" fillId="5" borderId="17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2" fillId="5" borderId="27" xfId="1" applyFill="1" applyBorder="1" applyAlignment="1">
      <alignment horizontal="left" vertical="center"/>
    </xf>
    <xf numFmtId="0" fontId="0" fillId="5" borderId="27" xfId="0" applyFill="1" applyBorder="1" applyAlignment="1">
      <alignment horizontal="left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1</xdr:row>
      <xdr:rowOff>47625</xdr:rowOff>
    </xdr:from>
    <xdr:to>
      <xdr:col>9</xdr:col>
      <xdr:colOff>276225</xdr:colOff>
      <xdr:row>24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86E823-F507-E1A8-8F6D-3D40E9C8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238125"/>
          <a:ext cx="6553200" cy="44862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z Mery Rios Alzate" id="{CB11894D-803E-44E6-9120-EC4D7AABF870}" userId="S::lrios@uco.edu.co::2c6e6b4f-8f58-4e67-a209-b646ce663b36" providerId="AD"/>
  <person displayName="Kevin Stiven Montoya Prada" id="{F6FAECB2-D7A1-429F-A86E-5C97779B0B53}" userId="S::kevin.montoya5146@uco.net.co::7e25257d-01d6-4509-a38e-611db9b2785d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2-17T21:12:22.73" personId="{CB11894D-803E-44E6-9120-EC4D7AABF870}" id="{8958AFEB-7B35-40FA-A515-70C97C5FC926}">
    <text>Por qué no hace CRUD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8" dT="2025-04-04T22:40:15.87" personId="{CB11894D-803E-44E6-9120-EC4D7AABF870}" id="{3AF7547D-D3F4-4E70-B936-A1A2AC6A8124}">
    <text>Tengo dudas con el tema del Boolean</text>
  </threadedComment>
  <threadedComment ref="A8" dT="2025-04-04T22:41:45.78" personId="{CB11894D-803E-44E6-9120-EC4D7AABF870}" id="{3D815EA8-1B87-4427-90B3-C1A398354CC9}" parentId="{3AF7547D-D3F4-4E70-B936-A1A2AC6A8124}">
    <text>Cambiar el nombre del campo por SNAceptada</text>
  </threadedComment>
  <threadedComment ref="A8" dT="2025-04-06T22:56:38.97" personId="{F6FAECB2-D7A1-429F-A86E-5C97779B0B53}" id="{D3019F58-9B9A-476B-93F9-FD9B16341FCC}" parentId="{3AF7547D-D3F4-4E70-B936-A1A2AC6A8124}">
    <text xml:space="preserve">Se cambia el tipo de dato por tipo texto, ya que son tres estados de la entidad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topLeftCell="A3" zoomScale="85" zoomScaleNormal="85" workbookViewId="0">
      <selection activeCell="K21" sqref="K21"/>
    </sheetView>
  </sheetViews>
  <sheetFormatPr baseColWidth="10" defaultColWidth="11.3984375" defaultRowHeight="14.25" x14ac:dyDescent="0.45"/>
  <cols>
    <col min="1" max="16384" width="11.3984375" style="3"/>
  </cols>
  <sheetData>
    <row r="1" spans="1:1" x14ac:dyDescent="0.45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D30"/>
  <sheetViews>
    <sheetView zoomScaleNormal="100" workbookViewId="0">
      <pane ySplit="2" topLeftCell="A3" activePane="bottomLeft" state="frozen"/>
      <selection pane="bottomLeft" activeCell="C8" sqref="C8"/>
    </sheetView>
  </sheetViews>
  <sheetFormatPr baseColWidth="10" defaultColWidth="11.3984375" defaultRowHeight="14.25" x14ac:dyDescent="0.45"/>
  <cols>
    <col min="1" max="1" width="21.59765625" style="1" bestFit="1" customWidth="1"/>
    <col min="2" max="2" width="56.265625" style="1" bestFit="1" customWidth="1"/>
    <col min="3" max="3" width="12.3984375" style="1" bestFit="1" customWidth="1"/>
    <col min="4" max="16384" width="11.3984375" style="1"/>
  </cols>
  <sheetData>
    <row r="1" spans="1:4" x14ac:dyDescent="0.45">
      <c r="A1" s="56" t="s">
        <v>0</v>
      </c>
      <c r="B1" s="133" t="s">
        <v>1</v>
      </c>
      <c r="C1" s="133"/>
      <c r="D1" s="134"/>
    </row>
    <row r="2" spans="1:4" x14ac:dyDescent="0.45">
      <c r="A2" s="61" t="s">
        <v>2</v>
      </c>
      <c r="B2" s="62" t="s">
        <v>3</v>
      </c>
      <c r="C2" s="62" t="s">
        <v>4</v>
      </c>
      <c r="D2" s="63" t="s">
        <v>5</v>
      </c>
    </row>
    <row r="3" spans="1:4" ht="28.5" x14ac:dyDescent="0.45">
      <c r="A3" s="59" t="s">
        <v>6</v>
      </c>
      <c r="B3" s="64" t="s">
        <v>7</v>
      </c>
      <c r="C3" s="60" t="s">
        <v>8</v>
      </c>
      <c r="D3" s="60" t="s">
        <v>1</v>
      </c>
    </row>
    <row r="4" spans="1:4" ht="28.5" x14ac:dyDescent="0.45">
      <c r="A4" s="59" t="s">
        <v>9</v>
      </c>
      <c r="B4" s="64" t="s">
        <v>10</v>
      </c>
      <c r="C4" s="60" t="s">
        <v>8</v>
      </c>
      <c r="D4" s="60" t="s">
        <v>1</v>
      </c>
    </row>
    <row r="5" spans="1:4" ht="28.5" x14ac:dyDescent="0.45">
      <c r="A5" s="59" t="s">
        <v>1</v>
      </c>
      <c r="B5" s="64" t="s">
        <v>11</v>
      </c>
      <c r="C5" s="60" t="s">
        <v>8</v>
      </c>
      <c r="D5" s="60" t="s">
        <v>1</v>
      </c>
    </row>
    <row r="6" spans="1:4" x14ac:dyDescent="0.45">
      <c r="A6" s="59" t="s">
        <v>12</v>
      </c>
      <c r="B6" s="64" t="s">
        <v>13</v>
      </c>
      <c r="C6" s="60" t="s">
        <v>8</v>
      </c>
      <c r="D6" s="60" t="s">
        <v>1</v>
      </c>
    </row>
    <row r="7" spans="1:4" x14ac:dyDescent="0.45">
      <c r="A7" s="59" t="s">
        <v>14</v>
      </c>
      <c r="B7" s="64" t="s">
        <v>15</v>
      </c>
      <c r="C7" s="60" t="s">
        <v>8</v>
      </c>
      <c r="D7" s="60" t="s">
        <v>1</v>
      </c>
    </row>
    <row r="8" spans="1:4" ht="28.5" x14ac:dyDescent="0.45">
      <c r="A8" s="59" t="s">
        <v>16</v>
      </c>
      <c r="B8" s="64" t="s">
        <v>17</v>
      </c>
      <c r="C8" s="60" t="s">
        <v>8</v>
      </c>
      <c r="D8" s="60" t="s">
        <v>1</v>
      </c>
    </row>
    <row r="9" spans="1:4" ht="28.5" x14ac:dyDescent="0.45">
      <c r="A9" s="59" t="s">
        <v>18</v>
      </c>
      <c r="B9" s="64" t="s">
        <v>19</v>
      </c>
      <c r="C9" s="60" t="s">
        <v>8</v>
      </c>
      <c r="D9" s="60" t="s">
        <v>1</v>
      </c>
    </row>
    <row r="10" spans="1:4" x14ac:dyDescent="0.45">
      <c r="A10" s="59" t="s">
        <v>20</v>
      </c>
      <c r="B10" s="60" t="s">
        <v>21</v>
      </c>
      <c r="C10" s="60" t="s">
        <v>8</v>
      </c>
      <c r="D10" s="60" t="s">
        <v>1</v>
      </c>
    </row>
    <row r="11" spans="1:4" ht="28.5" x14ac:dyDescent="0.45">
      <c r="A11" s="59" t="s">
        <v>22</v>
      </c>
      <c r="B11" s="64" t="s">
        <v>23</v>
      </c>
      <c r="C11" s="60" t="s">
        <v>24</v>
      </c>
      <c r="D11" s="60" t="s">
        <v>25</v>
      </c>
    </row>
    <row r="12" spans="1:4" x14ac:dyDescent="0.45">
      <c r="A12" s="57"/>
      <c r="B12" s="58"/>
      <c r="C12" s="58"/>
      <c r="D12" s="58"/>
    </row>
    <row r="30" ht="15.75" customHeight="1" x14ac:dyDescent="0.45"/>
  </sheetData>
  <mergeCells count="1">
    <mergeCell ref="B1:D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D8691D-32B3-4891-8170-D76C3B8F74BD}">
          <x14:formula1>
            <xm:f>Valores!$A$3:$A$4</xm:f>
          </x14:formula1>
          <xm:sqref>C3:C12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CB1A-ACAF-48CA-A6AD-4DD0D3A676EA}">
  <dimension ref="A1:B4"/>
  <sheetViews>
    <sheetView workbookViewId="0">
      <selection activeCell="B9" sqref="B9"/>
    </sheetView>
  </sheetViews>
  <sheetFormatPr baseColWidth="10" defaultColWidth="11.3984375" defaultRowHeight="14.25" x14ac:dyDescent="0.45"/>
  <cols>
    <col min="1" max="1" width="12.86328125" bestFit="1" customWidth="1"/>
    <col min="2" max="2" width="52.73046875" bestFit="1" customWidth="1"/>
  </cols>
  <sheetData>
    <row r="1" spans="1:2" x14ac:dyDescent="0.45">
      <c r="A1" s="135" t="s">
        <v>26</v>
      </c>
      <c r="B1" s="136"/>
    </row>
    <row r="2" spans="1:2" x14ac:dyDescent="0.45">
      <c r="A2" s="50" t="s">
        <v>4</v>
      </c>
      <c r="B2" s="51" t="s">
        <v>3</v>
      </c>
    </row>
    <row r="3" spans="1:2" x14ac:dyDescent="0.45">
      <c r="A3" s="52" t="s">
        <v>8</v>
      </c>
      <c r="B3" s="53" t="s">
        <v>27</v>
      </c>
    </row>
    <row r="4" spans="1:2" ht="14.65" thickBot="1" x14ac:dyDescent="0.5">
      <c r="A4" s="54" t="s">
        <v>24</v>
      </c>
      <c r="B4" s="55" t="s">
        <v>28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608-57CC-45B0-8234-10CA49C3B004}">
  <dimension ref="A1:T19"/>
  <sheetViews>
    <sheetView zoomScale="85" zoomScaleNormal="85" workbookViewId="0">
      <selection activeCell="A18" sqref="A18:B18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18.13281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36.597656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20" x14ac:dyDescent="0.45">
      <c r="A2" s="4" t="s">
        <v>30</v>
      </c>
      <c r="B2" s="159" t="str">
        <f>'Listado Objetos de Dominio'!$A$3</f>
        <v>Departamento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0" x14ac:dyDescent="0.45">
      <c r="A3" s="4" t="s">
        <v>31</v>
      </c>
      <c r="B3" s="160" t="str">
        <f>'Listado Objetos de Dominio'!$B$3</f>
        <v>Indica el departamento al que pertenece la ciudad donde reside el cliente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0" x14ac:dyDescent="0.4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10" t="s">
        <v>3</v>
      </c>
      <c r="Q4" s="37" t="str">
        <f>A16</f>
        <v>Consultar</v>
      </c>
      <c r="R4" s="35">
        <f>A17</f>
        <v>0</v>
      </c>
      <c r="S4" s="36">
        <f>A18</f>
        <v>0</v>
      </c>
      <c r="T4" s="2">
        <f>A19</f>
        <v>0</v>
      </c>
    </row>
    <row r="5" spans="1:20" x14ac:dyDescent="0.45">
      <c r="A5" s="11" t="s">
        <v>47</v>
      </c>
      <c r="B5" s="5" t="s">
        <v>48</v>
      </c>
      <c r="C5" s="5" t="s">
        <v>49</v>
      </c>
      <c r="D5" s="5"/>
      <c r="E5" s="5"/>
      <c r="F5" s="5" t="s">
        <v>50</v>
      </c>
      <c r="G5" s="5"/>
      <c r="H5" s="5"/>
      <c r="I5" s="5"/>
      <c r="J5" s="13"/>
      <c r="K5" s="12" t="s">
        <v>51</v>
      </c>
      <c r="L5" s="5" t="s">
        <v>52</v>
      </c>
      <c r="M5" s="5" t="s">
        <v>51</v>
      </c>
      <c r="N5" s="5" t="s">
        <v>52</v>
      </c>
      <c r="O5" s="5" t="s">
        <v>51</v>
      </c>
      <c r="P5" s="7" t="s">
        <v>53</v>
      </c>
      <c r="Q5" s="34"/>
      <c r="R5" s="23"/>
      <c r="S5" s="28"/>
      <c r="T5" s="31"/>
    </row>
    <row r="6" spans="1:20" x14ac:dyDescent="0.45">
      <c r="A6" s="11" t="s">
        <v>2</v>
      </c>
      <c r="B6" s="5" t="s">
        <v>54</v>
      </c>
      <c r="C6" s="5">
        <v>1</v>
      </c>
      <c r="D6" s="5">
        <v>50</v>
      </c>
      <c r="E6" s="5"/>
      <c r="F6" s="5"/>
      <c r="G6" s="5"/>
      <c r="H6" s="5" t="s">
        <v>55</v>
      </c>
      <c r="I6" s="5"/>
      <c r="J6" s="13"/>
      <c r="K6" s="12" t="s">
        <v>52</v>
      </c>
      <c r="L6" s="5" t="s">
        <v>52</v>
      </c>
      <c r="M6" s="5" t="s">
        <v>51</v>
      </c>
      <c r="N6" s="5"/>
      <c r="O6" s="5"/>
      <c r="P6" s="7" t="s">
        <v>56</v>
      </c>
      <c r="Q6" s="34"/>
      <c r="R6" s="23"/>
      <c r="S6" s="28"/>
      <c r="T6" s="31"/>
    </row>
    <row r="7" spans="1:20" x14ac:dyDescent="0.45">
      <c r="A7" s="11"/>
      <c r="B7" s="5"/>
      <c r="C7" s="5"/>
      <c r="D7" s="5"/>
      <c r="E7" s="5"/>
      <c r="F7" s="5"/>
      <c r="G7" s="5"/>
      <c r="H7" s="5"/>
      <c r="I7" s="5"/>
      <c r="J7" s="6"/>
      <c r="K7" s="5"/>
      <c r="L7" s="5"/>
      <c r="M7" s="5"/>
      <c r="N7" s="5"/>
      <c r="O7" s="5"/>
      <c r="P7" s="7"/>
      <c r="Q7" s="34"/>
      <c r="R7" s="23"/>
      <c r="S7" s="28"/>
      <c r="T7" s="31"/>
    </row>
    <row r="8" spans="1:20" x14ac:dyDescent="0.45">
      <c r="A8" s="11"/>
      <c r="B8" s="5"/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7"/>
      <c r="Q8" s="34"/>
      <c r="R8" s="23"/>
      <c r="S8" s="28"/>
      <c r="T8" s="31"/>
    </row>
    <row r="10" spans="1:20" x14ac:dyDescent="0.45">
      <c r="A10" s="161" t="s">
        <v>57</v>
      </c>
      <c r="B10" s="162"/>
      <c r="C10" s="163"/>
    </row>
    <row r="11" spans="1:20" x14ac:dyDescent="0.45">
      <c r="A11" s="17" t="s">
        <v>58</v>
      </c>
      <c r="B11" s="16" t="s">
        <v>3</v>
      </c>
      <c r="C11" s="18" t="s">
        <v>59</v>
      </c>
    </row>
    <row r="12" spans="1:20" ht="39" customHeight="1" x14ac:dyDescent="0.45">
      <c r="A12" s="14"/>
      <c r="B12" s="15"/>
      <c r="C12" s="38"/>
    </row>
    <row r="14" spans="1:20" x14ac:dyDescent="0.45">
      <c r="A14" s="164" t="s">
        <v>60</v>
      </c>
      <c r="B14" s="149"/>
      <c r="C14" s="149" t="s">
        <v>3</v>
      </c>
      <c r="D14" s="149"/>
      <c r="E14" s="149"/>
      <c r="F14" s="149"/>
      <c r="G14" s="149" t="s">
        <v>61</v>
      </c>
      <c r="H14" s="149"/>
      <c r="I14" s="149"/>
      <c r="J14" s="149" t="s">
        <v>62</v>
      </c>
      <c r="K14" s="149"/>
      <c r="L14" s="149"/>
      <c r="M14" s="149"/>
      <c r="N14" s="149"/>
      <c r="O14" s="149" t="s">
        <v>63</v>
      </c>
      <c r="P14" s="149"/>
      <c r="Q14" s="149" t="s">
        <v>64</v>
      </c>
      <c r="R14" s="150"/>
    </row>
    <row r="15" spans="1:20" x14ac:dyDescent="0.45">
      <c r="A15" s="165"/>
      <c r="B15" s="151"/>
      <c r="C15" s="151"/>
      <c r="D15" s="151"/>
      <c r="E15" s="151"/>
      <c r="F15" s="151"/>
      <c r="G15" s="19" t="s">
        <v>65</v>
      </c>
      <c r="H15" s="19" t="s">
        <v>66</v>
      </c>
      <c r="I15" s="19" t="s">
        <v>3</v>
      </c>
      <c r="J15" s="19" t="s">
        <v>33</v>
      </c>
      <c r="K15" s="151" t="s">
        <v>3</v>
      </c>
      <c r="L15" s="151"/>
      <c r="M15" s="151"/>
      <c r="N15" s="151"/>
      <c r="O15" s="19" t="s">
        <v>67</v>
      </c>
      <c r="P15" s="19" t="s">
        <v>3</v>
      </c>
      <c r="Q15" s="19" t="s">
        <v>68</v>
      </c>
      <c r="R15" s="25" t="s">
        <v>69</v>
      </c>
    </row>
    <row r="16" spans="1:20" ht="33" customHeight="1" x14ac:dyDescent="0.45">
      <c r="A16" s="152" t="s">
        <v>70</v>
      </c>
      <c r="B16" s="153"/>
      <c r="C16" s="154" t="s">
        <v>71</v>
      </c>
      <c r="D16" s="155"/>
      <c r="E16" s="155"/>
      <c r="F16" s="156"/>
      <c r="G16" s="20"/>
      <c r="H16" s="21"/>
      <c r="I16" s="22" t="s">
        <v>72</v>
      </c>
      <c r="J16" s="21"/>
      <c r="K16" s="157" t="s">
        <v>73</v>
      </c>
      <c r="L16" s="157"/>
      <c r="M16" s="157"/>
      <c r="N16" s="157"/>
      <c r="O16" s="22" t="s">
        <v>74</v>
      </c>
      <c r="P16" s="20"/>
      <c r="Q16" s="20" t="s">
        <v>74</v>
      </c>
      <c r="R16" s="26"/>
    </row>
    <row r="17" spans="1:18" x14ac:dyDescent="0.45">
      <c r="A17" s="146"/>
      <c r="B17" s="147"/>
      <c r="C17" s="148"/>
      <c r="D17" s="148"/>
      <c r="E17" s="148"/>
      <c r="F17" s="148"/>
      <c r="G17" s="46"/>
      <c r="H17" s="44"/>
      <c r="I17" s="45"/>
      <c r="J17" s="39"/>
      <c r="K17" s="141"/>
      <c r="L17" s="141"/>
      <c r="M17" s="141"/>
      <c r="N17" s="141"/>
      <c r="O17" s="23"/>
      <c r="P17" s="24"/>
      <c r="Q17" s="24"/>
      <c r="R17" s="27"/>
    </row>
    <row r="18" spans="1:18" x14ac:dyDescent="0.45">
      <c r="A18" s="142"/>
      <c r="B18" s="143"/>
      <c r="C18" s="144"/>
      <c r="D18" s="144"/>
      <c r="E18" s="144"/>
      <c r="F18" s="144"/>
      <c r="G18" s="42"/>
      <c r="H18" s="40"/>
      <c r="I18" s="41"/>
      <c r="J18" s="43"/>
      <c r="K18" s="145"/>
      <c r="L18" s="145"/>
      <c r="M18" s="145"/>
      <c r="N18" s="145"/>
      <c r="O18" s="28"/>
      <c r="P18" s="29"/>
      <c r="Q18" s="29"/>
      <c r="R18" s="30"/>
    </row>
    <row r="19" spans="1:18" x14ac:dyDescent="0.45">
      <c r="A19" s="138"/>
      <c r="B19" s="139"/>
      <c r="C19" s="140"/>
      <c r="D19" s="140"/>
      <c r="E19" s="140"/>
      <c r="F19" s="140"/>
      <c r="G19" s="48"/>
      <c r="H19" s="49"/>
      <c r="I19" s="47"/>
      <c r="J19" s="48"/>
      <c r="K19" s="137"/>
      <c r="L19" s="137"/>
      <c r="M19" s="137"/>
      <c r="N19" s="137"/>
      <c r="O19" s="31"/>
      <c r="P19" s="32"/>
      <c r="Q19" s="32"/>
      <c r="R19" s="33"/>
    </row>
  </sheetData>
  <mergeCells count="23">
    <mergeCell ref="A1:P1"/>
    <mergeCell ref="B2:P2"/>
    <mergeCell ref="B3:P3"/>
    <mergeCell ref="A10:C10"/>
    <mergeCell ref="A14:B15"/>
    <mergeCell ref="C14:F15"/>
    <mergeCell ref="G14:I14"/>
    <mergeCell ref="J14:N14"/>
    <mergeCell ref="O14:P14"/>
    <mergeCell ref="Q14:R14"/>
    <mergeCell ref="K15:N15"/>
    <mergeCell ref="A16:B16"/>
    <mergeCell ref="C16:F16"/>
    <mergeCell ref="K16:N16"/>
    <mergeCell ref="K19:N19"/>
    <mergeCell ref="A19:B19"/>
    <mergeCell ref="C19:F19"/>
    <mergeCell ref="K17:N17"/>
    <mergeCell ref="A18:B18"/>
    <mergeCell ref="C18:F18"/>
    <mergeCell ref="K18:N18"/>
    <mergeCell ref="A17:B17"/>
    <mergeCell ref="C17:F17"/>
  </mergeCells>
  <hyperlinks>
    <hyperlink ref="A1" location="'Objetos de Dominio'!A1" display="Volver al inicio" xr:uid="{F92E8141-0BAA-4CFF-A2AA-790349ADA214}"/>
    <hyperlink ref="R4" location="'Objeto Dominio 2'!A17" display="'Objeto Dominio 2'!A17" xr:uid="{C31578C6-097C-48B5-85BE-E2B5695507BB}"/>
    <hyperlink ref="S4" location="'Objeto Dominio 2'!A18" display="'Objeto Dominio 2'!A18" xr:uid="{12E63051-0357-4C9D-ABE2-AAC9F4D1077D}"/>
    <hyperlink ref="T4" location="'Objeto Dominio 2'!A19" display="'Objeto Dominio 2'!A19" xr:uid="{1EEF2DB2-A99F-4C59-8304-4835FA7407E0}"/>
    <hyperlink ref="A16:B16" location="'Objeto Dominio 2'!Q4" display="Reponsabilidad 1" xr:uid="{22905DC7-C781-450C-BA99-3B5AF5CDD56E}"/>
    <hyperlink ref="Q4" location="'Objeto Dominio 2'!A16" display="'Objeto Dominio 2'!A16" xr:uid="{F66CECC3-2EE1-49F8-9E57-39E041254432}"/>
    <hyperlink ref="A1:P1" location="'Listado Objetos de Dominio'!A1" display="&lt;-Volver al inicio" xr:uid="{BAD90D86-7311-49B0-A802-02D69BE204D5}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dimension ref="A1:T16"/>
  <sheetViews>
    <sheetView workbookViewId="0">
      <pane ySplit="2" topLeftCell="A3" activePane="bottomLeft" state="frozen"/>
      <selection pane="bottomLeft" activeCell="E12" sqref="E12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20" x14ac:dyDescent="0.45">
      <c r="A2" s="4" t="s">
        <v>30</v>
      </c>
      <c r="B2" s="159" t="str">
        <f>'Listado Objetos de Dominio'!$A$4</f>
        <v>Ciudad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0" ht="14.65" thickBot="1" x14ac:dyDescent="0.5">
      <c r="A3" s="4" t="s">
        <v>31</v>
      </c>
      <c r="B3" s="160" t="str">
        <f>'Listado Objetos de Dominio'!$B$4</f>
        <v>Se refiere a la ciudad donde reside el cliente y/o donde está ubicado su negocio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0" x14ac:dyDescent="0.4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10" t="s">
        <v>3</v>
      </c>
      <c r="Q4" s="37" t="str">
        <f>A16</f>
        <v>Consultar</v>
      </c>
      <c r="R4" s="35" t="e">
        <f>#REF!</f>
        <v>#REF!</v>
      </c>
      <c r="S4" s="36" t="e">
        <f>#REF!</f>
        <v>#REF!</v>
      </c>
      <c r="T4" s="2" t="e">
        <f>#REF!</f>
        <v>#REF!</v>
      </c>
    </row>
    <row r="5" spans="1:20" x14ac:dyDescent="0.45">
      <c r="A5" s="11" t="s">
        <v>47</v>
      </c>
      <c r="B5" s="5" t="s">
        <v>75</v>
      </c>
      <c r="C5" s="5"/>
      <c r="D5" s="5"/>
      <c r="E5" s="5"/>
      <c r="F5" s="5" t="s">
        <v>76</v>
      </c>
      <c r="G5" s="5"/>
      <c r="H5" s="5"/>
      <c r="I5" s="5"/>
      <c r="J5" s="13"/>
      <c r="K5" s="12" t="s">
        <v>51</v>
      </c>
      <c r="L5" s="5" t="s">
        <v>52</v>
      </c>
      <c r="M5" s="5" t="s">
        <v>51</v>
      </c>
      <c r="N5" s="5" t="s">
        <v>52</v>
      </c>
      <c r="O5" s="5" t="s">
        <v>51</v>
      </c>
      <c r="P5" s="7"/>
      <c r="Q5" s="34"/>
      <c r="R5" s="23"/>
      <c r="S5" s="28"/>
      <c r="T5" s="31"/>
    </row>
    <row r="6" spans="1:20" x14ac:dyDescent="0.45">
      <c r="A6" s="11" t="s">
        <v>2</v>
      </c>
      <c r="B6" s="5" t="s">
        <v>54</v>
      </c>
      <c r="C6" s="5">
        <v>1</v>
      </c>
      <c r="D6" s="5">
        <v>50</v>
      </c>
      <c r="E6" s="5"/>
      <c r="F6" s="5"/>
      <c r="G6" s="5"/>
      <c r="H6" s="5" t="s">
        <v>55</v>
      </c>
      <c r="I6" s="5"/>
      <c r="J6" s="13"/>
      <c r="K6" s="12" t="s">
        <v>52</v>
      </c>
      <c r="L6" s="5" t="s">
        <v>52</v>
      </c>
      <c r="M6" s="5" t="s">
        <v>51</v>
      </c>
      <c r="N6" s="5" t="s">
        <v>52</v>
      </c>
      <c r="O6" s="5"/>
      <c r="P6" s="7"/>
      <c r="Q6" s="34"/>
      <c r="R6" s="23"/>
      <c r="S6" s="28"/>
      <c r="T6" s="31"/>
    </row>
    <row r="7" spans="1:20" ht="26.25" x14ac:dyDescent="0.45">
      <c r="A7" s="11" t="s">
        <v>6</v>
      </c>
      <c r="B7" s="5" t="s">
        <v>6</v>
      </c>
      <c r="C7" s="5"/>
      <c r="D7" s="5"/>
      <c r="E7" s="5"/>
      <c r="F7" s="5"/>
      <c r="G7" s="5"/>
      <c r="H7" s="5"/>
      <c r="I7" s="5"/>
      <c r="J7" s="13" t="s">
        <v>77</v>
      </c>
      <c r="K7" s="5"/>
      <c r="L7" s="5"/>
      <c r="M7" s="5" t="s">
        <v>51</v>
      </c>
      <c r="N7" s="5"/>
      <c r="O7" s="5"/>
      <c r="P7" s="7"/>
      <c r="Q7" s="34"/>
      <c r="R7" s="23"/>
      <c r="S7" s="28"/>
      <c r="T7" s="31"/>
    </row>
    <row r="8" spans="1:20" x14ac:dyDescent="0.45">
      <c r="A8" s="11"/>
      <c r="B8" s="5"/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7"/>
      <c r="Q8" s="34"/>
      <c r="R8" s="23"/>
      <c r="S8" s="28"/>
      <c r="T8" s="31"/>
    </row>
    <row r="9" spans="1:20" ht="14.65" thickBot="1" x14ac:dyDescent="0.5"/>
    <row r="10" spans="1:20" x14ac:dyDescent="0.45">
      <c r="A10" s="161" t="s">
        <v>57</v>
      </c>
      <c r="B10" s="162"/>
      <c r="C10" s="163"/>
    </row>
    <row r="11" spans="1:20" x14ac:dyDescent="0.45">
      <c r="A11" s="17" t="s">
        <v>58</v>
      </c>
      <c r="B11" s="16" t="s">
        <v>3</v>
      </c>
      <c r="C11" s="18" t="s">
        <v>59</v>
      </c>
    </row>
    <row r="12" spans="1:20" ht="39" customHeight="1" thickBot="1" x14ac:dyDescent="0.5">
      <c r="A12" s="14"/>
      <c r="B12" s="15"/>
      <c r="C12" s="38"/>
      <c r="G12" s="99"/>
    </row>
    <row r="14" spans="1:20" x14ac:dyDescent="0.45">
      <c r="A14" s="164" t="s">
        <v>60</v>
      </c>
      <c r="B14" s="149"/>
      <c r="C14" s="149" t="s">
        <v>3</v>
      </c>
      <c r="D14" s="149"/>
      <c r="E14" s="149"/>
      <c r="F14" s="149"/>
      <c r="G14" s="149" t="s">
        <v>61</v>
      </c>
      <c r="H14" s="149"/>
      <c r="I14" s="149"/>
      <c r="J14" s="149" t="s">
        <v>62</v>
      </c>
      <c r="K14" s="149"/>
      <c r="L14" s="149"/>
      <c r="M14" s="149"/>
      <c r="N14" s="149"/>
      <c r="O14" s="149" t="s">
        <v>63</v>
      </c>
      <c r="P14" s="149"/>
      <c r="Q14" s="149" t="s">
        <v>64</v>
      </c>
      <c r="R14" s="150"/>
    </row>
    <row r="15" spans="1:20" x14ac:dyDescent="0.45">
      <c r="A15" s="165"/>
      <c r="B15" s="151"/>
      <c r="C15" s="151"/>
      <c r="D15" s="151"/>
      <c r="E15" s="151"/>
      <c r="F15" s="151"/>
      <c r="G15" s="19" t="s">
        <v>65</v>
      </c>
      <c r="H15" s="19" t="s">
        <v>66</v>
      </c>
      <c r="I15" s="19" t="s">
        <v>3</v>
      </c>
      <c r="J15" s="19" t="s">
        <v>33</v>
      </c>
      <c r="K15" s="151" t="s">
        <v>3</v>
      </c>
      <c r="L15" s="151"/>
      <c r="M15" s="151"/>
      <c r="N15" s="151"/>
      <c r="O15" s="19" t="s">
        <v>67</v>
      </c>
      <c r="P15" s="19" t="s">
        <v>3</v>
      </c>
      <c r="Q15" s="19" t="s">
        <v>68</v>
      </c>
      <c r="R15" s="25" t="s">
        <v>69</v>
      </c>
    </row>
    <row r="16" spans="1:20" ht="34.5" customHeight="1" x14ac:dyDescent="0.45">
      <c r="A16" s="152" t="s">
        <v>70</v>
      </c>
      <c r="B16" s="153"/>
      <c r="C16" s="154" t="s">
        <v>78</v>
      </c>
      <c r="D16" s="155"/>
      <c r="E16" s="155"/>
      <c r="F16" s="156"/>
      <c r="G16" s="20"/>
      <c r="H16" s="21"/>
      <c r="I16" s="22" t="s">
        <v>79</v>
      </c>
      <c r="J16" s="21"/>
      <c r="K16" s="157" t="s">
        <v>80</v>
      </c>
      <c r="L16" s="157"/>
      <c r="M16" s="157"/>
      <c r="N16" s="157"/>
      <c r="O16" s="20"/>
      <c r="P16" s="20"/>
      <c r="Q16" s="20"/>
      <c r="R16" s="26"/>
    </row>
  </sheetData>
  <mergeCells count="14">
    <mergeCell ref="Q14:R14"/>
    <mergeCell ref="K15:N15"/>
    <mergeCell ref="A16:B16"/>
    <mergeCell ref="C16:F16"/>
    <mergeCell ref="K16:N16"/>
    <mergeCell ref="A1:P1"/>
    <mergeCell ref="B2:P2"/>
    <mergeCell ref="B3:P3"/>
    <mergeCell ref="A10:C10"/>
    <mergeCell ref="A14:B15"/>
    <mergeCell ref="C14:F15"/>
    <mergeCell ref="G14:I14"/>
    <mergeCell ref="J14:N14"/>
    <mergeCell ref="O14:P14"/>
  </mergeCells>
  <hyperlinks>
    <hyperlink ref="A1" location="'Objetos de Dominio'!A1" display="Volver al inicio" xr:uid="{BD3FFCC5-4B44-4838-A36D-76DB08190487}"/>
    <hyperlink ref="R4" location="'Objeto Dominio 1'!A17" display="'Objeto Dominio 1'!A17" xr:uid="{A2870EFD-A505-493E-87E8-2E1411795896}"/>
    <hyperlink ref="S4" location="'Objeto Dominio 1'!A18" display="'Objeto Dominio 1'!A18" xr:uid="{255B7490-DDA4-4BEF-98CA-B99448352900}"/>
    <hyperlink ref="T4" location="'Objeto Dominio 1'!A19" display="'Objeto Dominio 1'!A19" xr:uid="{706882A1-07E0-4948-8B9C-8861D2CC8FE3}"/>
    <hyperlink ref="A16:B16" location="'Objeto Dominio 1'!Q4" display="Reponsabilidad 1" xr:uid="{D0D0BC22-347D-4800-B48E-FEA2C5DF8B46}"/>
    <hyperlink ref="Q4" location="'Objeto Dominio 1'!A16" display="'Objeto Dominio 1'!A16" xr:uid="{B7DC66C7-CAF0-414F-9819-29E983398B1B}"/>
    <hyperlink ref="A1:P1" location="'Listado Objetos de Dominio'!A1" display="&lt;-Volver al inicio" xr:uid="{EDAD5212-8D62-4F21-A63F-5CE874FBE78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dimension ref="A1:T31"/>
  <sheetViews>
    <sheetView tabSelected="1" zoomScale="70" zoomScaleNormal="70" workbookViewId="0">
      <selection activeCell="A18" sqref="A18:B18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22.1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20" x14ac:dyDescent="0.45">
      <c r="A2" s="4" t="s">
        <v>30</v>
      </c>
      <c r="B2" s="159" t="str">
        <f>'Listado Objetos de Dominio'!$A$5</f>
        <v>Cliente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0" ht="14.65" thickBot="1" x14ac:dyDescent="0.5">
      <c r="A3" s="4" t="s">
        <v>31</v>
      </c>
      <c r="B3" s="160" t="str">
        <f>'Listado Objetos de Dominio'!$B$5</f>
        <v>Describe al usuario que realiza las solicitudes de cotización en la aplicación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0" x14ac:dyDescent="0.4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10" t="s">
        <v>3</v>
      </c>
      <c r="Q4" s="37" t="str">
        <f>A18</f>
        <v>Registrar</v>
      </c>
      <c r="R4" s="35" t="str">
        <f>A19</f>
        <v>Actualizar datos</v>
      </c>
      <c r="S4" s="36" t="str">
        <f>A20</f>
        <v>Consultar</v>
      </c>
      <c r="T4" s="2" t="str">
        <f>A21</f>
        <v>Eliminar</v>
      </c>
    </row>
    <row r="5" spans="1:20" x14ac:dyDescent="0.45">
      <c r="A5" s="11" t="s">
        <v>208</v>
      </c>
      <c r="B5" s="5" t="s">
        <v>82</v>
      </c>
      <c r="C5" s="5">
        <v>1</v>
      </c>
      <c r="D5" s="5" t="s">
        <v>49</v>
      </c>
      <c r="E5" s="5"/>
      <c r="F5" s="5"/>
      <c r="G5" s="5"/>
      <c r="H5" s="5" t="s">
        <v>209</v>
      </c>
      <c r="I5" s="5"/>
      <c r="J5" s="13"/>
      <c r="K5" s="12" t="s">
        <v>51</v>
      </c>
      <c r="L5" s="5" t="s">
        <v>52</v>
      </c>
      <c r="M5" s="5" t="s">
        <v>51</v>
      </c>
      <c r="N5" s="5"/>
      <c r="O5" s="5" t="s">
        <v>51</v>
      </c>
      <c r="P5" s="7" t="s">
        <v>210</v>
      </c>
      <c r="Q5" s="34"/>
      <c r="R5" s="23"/>
      <c r="S5" s="28"/>
      <c r="T5" s="31"/>
    </row>
    <row r="6" spans="1:20" x14ac:dyDescent="0.45">
      <c r="A6" s="11" t="s">
        <v>2</v>
      </c>
      <c r="B6" s="5" t="s">
        <v>54</v>
      </c>
      <c r="C6" s="5">
        <v>1</v>
      </c>
      <c r="D6" s="5">
        <v>50</v>
      </c>
      <c r="E6" s="5"/>
      <c r="F6" s="5"/>
      <c r="G6" s="5"/>
      <c r="H6" s="5" t="s">
        <v>84</v>
      </c>
      <c r="I6" s="5"/>
      <c r="J6" s="13"/>
      <c r="K6" s="12"/>
      <c r="L6" s="5"/>
      <c r="M6" s="5" t="s">
        <v>51</v>
      </c>
      <c r="N6" s="5"/>
      <c r="O6" s="5"/>
      <c r="P6" s="7" t="s">
        <v>85</v>
      </c>
      <c r="Q6" s="34"/>
      <c r="R6" s="23"/>
      <c r="S6" s="28"/>
      <c r="T6" s="31"/>
    </row>
    <row r="7" spans="1:20" x14ac:dyDescent="0.45">
      <c r="A7" s="11" t="s">
        <v>86</v>
      </c>
      <c r="B7" s="5" t="s">
        <v>54</v>
      </c>
      <c r="C7" s="5">
        <v>1</v>
      </c>
      <c r="D7" s="5">
        <v>50</v>
      </c>
      <c r="E7" s="5"/>
      <c r="F7" s="5"/>
      <c r="G7" s="5"/>
      <c r="H7" s="5" t="s">
        <v>84</v>
      </c>
      <c r="I7" s="5"/>
      <c r="J7" s="6"/>
      <c r="K7" s="5"/>
      <c r="L7" s="5"/>
      <c r="M7" s="5" t="s">
        <v>51</v>
      </c>
      <c r="N7" s="5"/>
      <c r="O7" s="5"/>
      <c r="P7" s="7" t="s">
        <v>87</v>
      </c>
      <c r="Q7" s="34"/>
      <c r="R7" s="23"/>
      <c r="S7" s="28"/>
      <c r="T7" s="31"/>
    </row>
    <row r="8" spans="1:20" x14ac:dyDescent="0.45">
      <c r="A8" s="71" t="s">
        <v>88</v>
      </c>
      <c r="B8" s="72" t="s">
        <v>82</v>
      </c>
      <c r="C8" s="72">
        <v>1</v>
      </c>
      <c r="D8" s="72">
        <v>20</v>
      </c>
      <c r="E8" s="72"/>
      <c r="F8" s="72"/>
      <c r="G8" s="72"/>
      <c r="H8" s="72"/>
      <c r="I8" s="72"/>
      <c r="J8" s="73" t="s">
        <v>89</v>
      </c>
      <c r="K8" s="72" t="s">
        <v>52</v>
      </c>
      <c r="L8" s="72" t="s">
        <v>52</v>
      </c>
      <c r="M8" s="72" t="s">
        <v>51</v>
      </c>
      <c r="N8" s="72"/>
      <c r="O8" s="72"/>
      <c r="P8" s="74" t="s">
        <v>90</v>
      </c>
      <c r="Q8" s="75"/>
      <c r="R8" s="76"/>
      <c r="S8" s="77"/>
      <c r="T8" s="78"/>
    </row>
    <row r="9" spans="1:20" ht="26.25" x14ac:dyDescent="0.45">
      <c r="A9" s="65" t="s">
        <v>91</v>
      </c>
      <c r="B9" s="65" t="s">
        <v>82</v>
      </c>
      <c r="C9" s="65">
        <v>8</v>
      </c>
      <c r="D9" s="65">
        <v>12</v>
      </c>
      <c r="E9" s="65"/>
      <c r="F9" s="65"/>
      <c r="G9" s="65"/>
      <c r="H9" s="65"/>
      <c r="I9" s="65"/>
      <c r="J9" s="79" t="s">
        <v>92</v>
      </c>
      <c r="K9" s="65" t="s">
        <v>52</v>
      </c>
      <c r="L9" s="65" t="s">
        <v>52</v>
      </c>
      <c r="M9" s="65" t="s">
        <v>51</v>
      </c>
      <c r="N9" s="65" t="s">
        <v>51</v>
      </c>
      <c r="O9" s="65"/>
      <c r="P9" s="66" t="s">
        <v>93</v>
      </c>
      <c r="Q9" s="67"/>
      <c r="R9" s="68"/>
      <c r="S9" s="69"/>
      <c r="T9" s="70"/>
    </row>
    <row r="10" spans="1:20" ht="26.25" x14ac:dyDescent="0.45">
      <c r="A10" s="100" t="s">
        <v>9</v>
      </c>
      <c r="B10" s="100" t="s">
        <v>9</v>
      </c>
      <c r="C10" s="100"/>
      <c r="D10" s="100"/>
      <c r="E10" s="100"/>
      <c r="F10" s="100"/>
      <c r="G10" s="100"/>
      <c r="H10" s="100"/>
      <c r="I10" s="100"/>
      <c r="J10" s="101" t="s">
        <v>94</v>
      </c>
      <c r="K10" s="100"/>
      <c r="L10" s="100"/>
      <c r="M10" s="100"/>
      <c r="N10" s="100"/>
      <c r="O10" s="100"/>
      <c r="P10" s="102" t="s">
        <v>95</v>
      </c>
      <c r="Q10" s="103"/>
      <c r="R10" s="104"/>
      <c r="S10" s="105"/>
      <c r="T10" s="106"/>
    </row>
    <row r="11" spans="1:20" ht="14.65" thickBot="1" x14ac:dyDescent="0.5"/>
    <row r="12" spans="1:20" x14ac:dyDescent="0.45">
      <c r="A12" s="161" t="s">
        <v>57</v>
      </c>
      <c r="B12" s="162"/>
      <c r="C12" s="163"/>
    </row>
    <row r="13" spans="1:20" x14ac:dyDescent="0.45">
      <c r="A13" s="17" t="s">
        <v>58</v>
      </c>
      <c r="B13" s="16" t="s">
        <v>3</v>
      </c>
      <c r="C13" s="18" t="s">
        <v>59</v>
      </c>
    </row>
    <row r="14" spans="1:20" ht="39" customHeight="1" thickBot="1" x14ac:dyDescent="0.5">
      <c r="A14" s="14"/>
      <c r="B14" s="15"/>
      <c r="C14" s="38"/>
    </row>
    <row r="15" spans="1:20" ht="14.65" thickBot="1" x14ac:dyDescent="0.5"/>
    <row r="16" spans="1:20" x14ac:dyDescent="0.45">
      <c r="A16" s="164" t="s">
        <v>60</v>
      </c>
      <c r="B16" s="149"/>
      <c r="C16" s="149" t="s">
        <v>3</v>
      </c>
      <c r="D16" s="149"/>
      <c r="E16" s="149"/>
      <c r="F16" s="149"/>
      <c r="G16" s="149" t="s">
        <v>61</v>
      </c>
      <c r="H16" s="149"/>
      <c r="I16" s="149"/>
      <c r="J16" s="149" t="s">
        <v>62</v>
      </c>
      <c r="K16" s="149"/>
      <c r="L16" s="149"/>
      <c r="M16" s="149"/>
      <c r="N16" s="149"/>
      <c r="O16" s="149" t="s">
        <v>63</v>
      </c>
      <c r="P16" s="149"/>
      <c r="Q16" s="149" t="s">
        <v>64</v>
      </c>
      <c r="R16" s="150"/>
    </row>
    <row r="17" spans="1:18" x14ac:dyDescent="0.45">
      <c r="A17" s="165"/>
      <c r="B17" s="151"/>
      <c r="C17" s="151"/>
      <c r="D17" s="151"/>
      <c r="E17" s="151"/>
      <c r="F17" s="151"/>
      <c r="G17" s="19" t="s">
        <v>65</v>
      </c>
      <c r="H17" s="19" t="s">
        <v>66</v>
      </c>
      <c r="I17" s="19" t="s">
        <v>3</v>
      </c>
      <c r="J17" s="19" t="s">
        <v>33</v>
      </c>
      <c r="K17" s="151" t="s">
        <v>3</v>
      </c>
      <c r="L17" s="151"/>
      <c r="M17" s="151"/>
      <c r="N17" s="151"/>
      <c r="O17" s="19" t="s">
        <v>67</v>
      </c>
      <c r="P17" s="19" t="s">
        <v>3</v>
      </c>
      <c r="Q17" s="19" t="s">
        <v>68</v>
      </c>
      <c r="R17" s="25" t="s">
        <v>69</v>
      </c>
    </row>
    <row r="18" spans="1:18" x14ac:dyDescent="0.45">
      <c r="A18" s="152" t="s">
        <v>96</v>
      </c>
      <c r="B18" s="153"/>
      <c r="C18" s="157" t="s">
        <v>97</v>
      </c>
      <c r="D18" s="157"/>
      <c r="E18" s="157"/>
      <c r="F18" s="157"/>
      <c r="G18" s="20"/>
      <c r="H18" s="21"/>
      <c r="I18" s="22" t="s">
        <v>98</v>
      </c>
      <c r="J18" s="21"/>
      <c r="K18" s="157" t="s">
        <v>99</v>
      </c>
      <c r="L18" s="157"/>
      <c r="M18" s="157"/>
      <c r="N18" s="157"/>
      <c r="O18" s="20"/>
      <c r="P18" s="20" t="s">
        <v>100</v>
      </c>
      <c r="Q18" s="20"/>
      <c r="R18" s="26"/>
    </row>
    <row r="19" spans="1:18" ht="30" customHeight="1" x14ac:dyDescent="0.45">
      <c r="A19" s="146" t="s">
        <v>101</v>
      </c>
      <c r="B19" s="147"/>
      <c r="C19" s="148" t="s">
        <v>102</v>
      </c>
      <c r="D19" s="148"/>
      <c r="E19" s="148"/>
      <c r="F19" s="148"/>
      <c r="G19" s="46"/>
      <c r="H19" s="44"/>
      <c r="I19" s="45"/>
      <c r="J19" s="39"/>
      <c r="K19" s="141"/>
      <c r="L19" s="141"/>
      <c r="M19" s="141"/>
      <c r="N19" s="141"/>
      <c r="O19" s="23"/>
      <c r="P19" s="24"/>
      <c r="Q19" s="24"/>
      <c r="R19" s="27"/>
    </row>
    <row r="20" spans="1:18" x14ac:dyDescent="0.45">
      <c r="A20" s="142" t="s">
        <v>70</v>
      </c>
      <c r="B20" s="143"/>
      <c r="C20" s="144" t="s">
        <v>103</v>
      </c>
      <c r="D20" s="144"/>
      <c r="E20" s="144"/>
      <c r="F20" s="144"/>
      <c r="G20" s="42"/>
      <c r="H20" s="40"/>
      <c r="I20" s="41"/>
      <c r="J20" s="43"/>
      <c r="K20" s="145"/>
      <c r="L20" s="145"/>
      <c r="M20" s="145"/>
      <c r="N20" s="145"/>
      <c r="O20" s="28"/>
      <c r="P20" s="29"/>
      <c r="Q20" s="29"/>
      <c r="R20" s="30"/>
    </row>
    <row r="21" spans="1:18" ht="26.25" customHeight="1" x14ac:dyDescent="0.45">
      <c r="A21" s="171" t="s">
        <v>104</v>
      </c>
      <c r="B21" s="172"/>
      <c r="C21" s="173" t="s">
        <v>105</v>
      </c>
      <c r="D21" s="173"/>
      <c r="E21" s="173"/>
      <c r="F21" s="173"/>
      <c r="G21" s="86"/>
      <c r="H21" s="87"/>
      <c r="I21" s="85"/>
      <c r="J21" s="86"/>
      <c r="K21" s="174"/>
      <c r="L21" s="174"/>
      <c r="M21" s="174"/>
      <c r="N21" s="174"/>
      <c r="O21" s="78"/>
      <c r="P21" s="88"/>
      <c r="Q21" s="88"/>
      <c r="R21" s="90"/>
    </row>
    <row r="22" spans="1:18" ht="26.25" customHeight="1" x14ac:dyDescent="0.45">
      <c r="A22" s="175" t="s">
        <v>106</v>
      </c>
      <c r="B22" s="175"/>
      <c r="C22" s="176" t="s">
        <v>107</v>
      </c>
      <c r="D22" s="176"/>
      <c r="E22" s="176"/>
      <c r="F22" s="176"/>
      <c r="G22" s="80"/>
      <c r="H22" s="81"/>
      <c r="I22" s="82"/>
      <c r="J22" s="80"/>
      <c r="K22" s="83"/>
      <c r="L22" s="83"/>
      <c r="M22" s="83"/>
      <c r="N22" s="83"/>
      <c r="O22" s="70"/>
      <c r="P22" s="84"/>
      <c r="Q22" s="89"/>
      <c r="R22" s="70"/>
    </row>
    <row r="23" spans="1:18" ht="29.25" customHeight="1" x14ac:dyDescent="0.45">
      <c r="A23" s="175" t="s">
        <v>108</v>
      </c>
      <c r="B23" s="175"/>
      <c r="C23" s="176" t="s">
        <v>109</v>
      </c>
      <c r="D23" s="176"/>
      <c r="E23" s="176"/>
      <c r="F23" s="176"/>
      <c r="G23" s="80"/>
      <c r="H23" s="81"/>
      <c r="I23" s="82"/>
      <c r="J23" s="80"/>
      <c r="K23" s="83"/>
      <c r="L23" s="83"/>
      <c r="M23" s="83"/>
      <c r="N23" s="83"/>
      <c r="O23" s="70"/>
      <c r="P23" s="84"/>
      <c r="Q23" s="89"/>
      <c r="R23" s="70"/>
    </row>
    <row r="24" spans="1:18" ht="29.25" customHeight="1" x14ac:dyDescent="0.45">
      <c r="A24" s="175" t="s">
        <v>110</v>
      </c>
      <c r="B24" s="175"/>
      <c r="C24" s="176" t="s">
        <v>111</v>
      </c>
      <c r="D24" s="176"/>
      <c r="E24" s="176"/>
      <c r="F24" s="176"/>
      <c r="G24" s="80"/>
      <c r="H24" s="81"/>
      <c r="I24" s="82"/>
      <c r="J24" s="80"/>
      <c r="K24" s="83"/>
      <c r="L24" s="83"/>
      <c r="M24" s="83"/>
      <c r="N24" s="83"/>
      <c r="O24" s="70"/>
      <c r="P24" s="84" t="s">
        <v>112</v>
      </c>
      <c r="Q24" s="89"/>
      <c r="R24" s="70"/>
    </row>
    <row r="25" spans="1:18" ht="29.25" customHeight="1" x14ac:dyDescent="0.45">
      <c r="A25" s="175" t="s">
        <v>113</v>
      </c>
      <c r="B25" s="175"/>
      <c r="C25" s="176" t="s">
        <v>114</v>
      </c>
      <c r="D25" s="176"/>
      <c r="E25" s="176"/>
      <c r="F25" s="176"/>
      <c r="G25" s="80"/>
      <c r="H25" s="81"/>
      <c r="I25" s="82"/>
      <c r="J25" s="80"/>
      <c r="K25" s="83"/>
      <c r="L25" s="83"/>
      <c r="M25" s="83"/>
      <c r="N25" s="83"/>
      <c r="O25" s="70"/>
      <c r="P25" s="84"/>
      <c r="Q25" s="89"/>
      <c r="R25" s="70"/>
    </row>
    <row r="26" spans="1:18" ht="29.25" customHeight="1" x14ac:dyDescent="0.45">
      <c r="A26" s="175" t="s">
        <v>115</v>
      </c>
      <c r="B26" s="175"/>
      <c r="C26" s="176" t="s">
        <v>116</v>
      </c>
      <c r="D26" s="176"/>
      <c r="E26" s="176"/>
      <c r="F26" s="176"/>
      <c r="G26" s="80"/>
      <c r="H26" s="81"/>
      <c r="I26" s="82"/>
      <c r="J26" s="80"/>
      <c r="K26" s="83"/>
      <c r="L26" s="83"/>
      <c r="M26" s="83"/>
      <c r="N26" s="83"/>
      <c r="O26" s="70"/>
      <c r="P26" s="84"/>
      <c r="Q26" s="89"/>
      <c r="R26" s="70"/>
    </row>
    <row r="27" spans="1:18" ht="29.25" customHeight="1" x14ac:dyDescent="0.45">
      <c r="A27" s="178" t="s">
        <v>117</v>
      </c>
      <c r="B27" s="178"/>
      <c r="C27" s="177" t="s">
        <v>118</v>
      </c>
      <c r="D27" s="177"/>
      <c r="E27" s="177"/>
      <c r="F27" s="177"/>
      <c r="G27" s="122"/>
      <c r="H27" s="123"/>
      <c r="I27" s="124"/>
      <c r="J27" s="121"/>
      <c r="K27" s="123"/>
      <c r="L27" s="125"/>
      <c r="M27" s="125"/>
      <c r="N27" s="125"/>
      <c r="O27" s="125"/>
      <c r="P27" s="106"/>
      <c r="Q27" s="122"/>
      <c r="R27" s="126"/>
    </row>
    <row r="28" spans="1:18" s="120" customFormat="1" ht="29.25" customHeight="1" x14ac:dyDescent="0.45">
      <c r="A28" s="169" t="s">
        <v>119</v>
      </c>
      <c r="B28" s="170"/>
      <c r="C28" s="166" t="s">
        <v>120</v>
      </c>
      <c r="D28" s="167"/>
      <c r="E28" s="167"/>
      <c r="F28" s="168"/>
      <c r="G28" s="84"/>
      <c r="H28" s="80"/>
      <c r="I28" s="81"/>
      <c r="J28" s="82"/>
      <c r="K28" s="80"/>
      <c r="L28" s="83"/>
      <c r="M28" s="83"/>
      <c r="N28" s="83"/>
      <c r="O28" s="83"/>
      <c r="P28" s="70"/>
      <c r="Q28" s="84"/>
      <c r="R28" s="84"/>
    </row>
    <row r="29" spans="1:18" s="120" customFormat="1" ht="29.25" customHeight="1" x14ac:dyDescent="0.45">
      <c r="A29" s="169" t="s">
        <v>121</v>
      </c>
      <c r="B29" s="170"/>
      <c r="C29" s="166" t="s">
        <v>122</v>
      </c>
      <c r="D29" s="167"/>
      <c r="E29" s="167"/>
      <c r="F29" s="168"/>
      <c r="G29" s="84"/>
      <c r="H29" s="80"/>
      <c r="I29" s="81"/>
      <c r="J29" s="82"/>
      <c r="K29" s="80"/>
      <c r="L29" s="83"/>
      <c r="M29" s="83"/>
      <c r="N29" s="83"/>
      <c r="O29" s="83"/>
      <c r="P29" s="70"/>
      <c r="Q29" s="84"/>
      <c r="R29" s="84"/>
    </row>
    <row r="30" spans="1:18" s="120" customFormat="1" ht="29.25" customHeight="1" x14ac:dyDescent="0.45">
      <c r="A30" s="169" t="s">
        <v>123</v>
      </c>
      <c r="B30" s="170"/>
      <c r="C30" s="166" t="s">
        <v>124</v>
      </c>
      <c r="D30" s="167"/>
      <c r="E30" s="167"/>
      <c r="F30" s="168"/>
      <c r="G30" s="84"/>
      <c r="H30" s="80"/>
      <c r="I30" s="81"/>
      <c r="J30" s="82"/>
      <c r="K30" s="80"/>
      <c r="L30" s="83"/>
      <c r="M30" s="83"/>
      <c r="N30" s="83"/>
      <c r="O30" s="83"/>
      <c r="P30" s="70"/>
      <c r="Q30" s="84"/>
      <c r="R30" s="84"/>
    </row>
    <row r="31" spans="1:18" s="120" customFormat="1" ht="29.25" customHeight="1" x14ac:dyDescent="0.45">
      <c r="A31" s="169" t="s">
        <v>125</v>
      </c>
      <c r="B31" s="170"/>
      <c r="C31" s="166" t="s">
        <v>126</v>
      </c>
      <c r="D31" s="167"/>
      <c r="E31" s="167"/>
      <c r="F31" s="168"/>
      <c r="G31" s="84"/>
      <c r="H31" s="80"/>
      <c r="I31" s="81"/>
      <c r="J31" s="82"/>
      <c r="K31" s="80"/>
      <c r="L31" s="83"/>
      <c r="M31" s="83"/>
      <c r="N31" s="83"/>
      <c r="O31" s="83"/>
      <c r="P31" s="70"/>
      <c r="Q31" s="84"/>
      <c r="R31" s="84"/>
    </row>
  </sheetData>
  <mergeCells count="43">
    <mergeCell ref="C27:F27"/>
    <mergeCell ref="A27:B27"/>
    <mergeCell ref="A25:B25"/>
    <mergeCell ref="C25:F25"/>
    <mergeCell ref="A26:B26"/>
    <mergeCell ref="C26:F26"/>
    <mergeCell ref="A22:B22"/>
    <mergeCell ref="C22:F22"/>
    <mergeCell ref="A23:B23"/>
    <mergeCell ref="C23:F23"/>
    <mergeCell ref="A24:B24"/>
    <mergeCell ref="C24:F24"/>
    <mergeCell ref="K20:N20"/>
    <mergeCell ref="A21:B21"/>
    <mergeCell ref="C21:F21"/>
    <mergeCell ref="K21:N21"/>
    <mergeCell ref="A20:B20"/>
    <mergeCell ref="C20:F20"/>
    <mergeCell ref="A19:B19"/>
    <mergeCell ref="C19:F19"/>
    <mergeCell ref="K19:N19"/>
    <mergeCell ref="A16:B17"/>
    <mergeCell ref="C16:F17"/>
    <mergeCell ref="G16:I16"/>
    <mergeCell ref="J16:N16"/>
    <mergeCell ref="Q16:R16"/>
    <mergeCell ref="K17:N17"/>
    <mergeCell ref="A18:B18"/>
    <mergeCell ref="C18:F18"/>
    <mergeCell ref="K18:N18"/>
    <mergeCell ref="A1:P1"/>
    <mergeCell ref="B2:P2"/>
    <mergeCell ref="B3:P3"/>
    <mergeCell ref="A12:C12"/>
    <mergeCell ref="O16:P16"/>
    <mergeCell ref="C28:F28"/>
    <mergeCell ref="C29:F29"/>
    <mergeCell ref="C30:F30"/>
    <mergeCell ref="C31:F31"/>
    <mergeCell ref="A28:B28"/>
    <mergeCell ref="A29:B29"/>
    <mergeCell ref="A30:B30"/>
    <mergeCell ref="A31:B31"/>
  </mergeCells>
  <hyperlinks>
    <hyperlink ref="A1" location="'Objetos de Dominio'!A1" display="Volver al inicio" xr:uid="{0B6B7A21-4F42-4461-B988-DE8CBBB8B21F}"/>
    <hyperlink ref="H21" location="'Tipo Relación Institución'!A6" display="'Tipo Relación Institución'!A6" xr:uid="{A29B7F90-D824-4DAD-9FA9-495F9A36C796}"/>
    <hyperlink ref="R4" location="'Objeto Dominio N'!A17" display="'Objeto Dominio N'!A17" xr:uid="{E9D8D2B5-1A04-41BF-9815-B2A1291CEA12}"/>
    <hyperlink ref="S4" location="'Objeto Dominio N'!A18" display="'Objeto Dominio N'!A18" xr:uid="{43D6E7D0-C1EE-421C-81D4-88BA062E1DD3}"/>
    <hyperlink ref="T4" location="'Objeto Dominio N'!A19" display="'Objeto Dominio N'!A19" xr:uid="{DFFE25A9-85CA-4C20-92B1-340B3519D7CB}"/>
    <hyperlink ref="A19:B19" location="'Objeto Dominio N'!R4" display="Reponsabilidad 2" xr:uid="{CC437FE8-5439-4F9D-A213-37CD4CE40D61}"/>
    <hyperlink ref="A21:B21" location="'Objeto Dominio N'!T4" display="Reponsabilidad 4" xr:uid="{8F16CC7B-78EA-40A1-B4A4-EFB8DF25A1CD}"/>
    <hyperlink ref="Q4" location="'Objeto Dominio N'!A16" display="'Objeto Dominio N'!A16" xr:uid="{1669EBF2-84DE-4EDB-8C3B-38EB8B625A26}"/>
    <hyperlink ref="A1:P1" location="'Listado Objetos de Dominio'!A1" display="&lt;-Volver al inicio" xr:uid="{BCAD9F6E-1607-4E0B-B462-EB54499EDC59}"/>
    <hyperlink ref="A20:B20" location="'Objeto Dominio N'!S4" display="Reponsabilidad 3" xr:uid="{4AEC65EE-67F5-4704-BC31-8B093F6B432C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2B57-8782-43A3-B8FE-58822F689802}">
  <dimension ref="A1:T20"/>
  <sheetViews>
    <sheetView topLeftCell="A10" zoomScale="70" zoomScaleNormal="70" workbookViewId="0">
      <selection activeCell="A17" sqref="A17:B17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20" x14ac:dyDescent="0.45">
      <c r="A2" s="4" t="s">
        <v>30</v>
      </c>
      <c r="B2" s="159" t="str">
        <f>'Listado Objetos de Dominio'!$A$6</f>
        <v>Negocio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0" x14ac:dyDescent="0.45">
      <c r="A3" s="4" t="s">
        <v>31</v>
      </c>
      <c r="B3" s="160" t="str">
        <f>'Listado Objetos de Dominio'!$B$6</f>
        <v>Se refiere al negocio que ha registrado el cliente en la aplicación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0" x14ac:dyDescent="0.4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10" t="s">
        <v>3</v>
      </c>
      <c r="Q4" s="37" t="str">
        <f>A17</f>
        <v xml:space="preserve">Registrar </v>
      </c>
      <c r="R4" s="35" t="str">
        <f>A18</f>
        <v>Actualizar datos</v>
      </c>
      <c r="S4" s="36" t="str">
        <f>A19</f>
        <v>Consultar</v>
      </c>
      <c r="T4" s="2" t="str">
        <f>A20</f>
        <v>Eliminar</v>
      </c>
    </row>
    <row r="5" spans="1:20" x14ac:dyDescent="0.45">
      <c r="A5" s="11" t="s">
        <v>127</v>
      </c>
      <c r="B5" s="5" t="s">
        <v>82</v>
      </c>
      <c r="C5" s="5">
        <v>1</v>
      </c>
      <c r="D5" s="5">
        <v>15</v>
      </c>
      <c r="E5" s="5"/>
      <c r="F5" s="5"/>
      <c r="G5" s="5"/>
      <c r="H5" s="5" t="s">
        <v>83</v>
      </c>
      <c r="I5" s="5"/>
      <c r="J5" s="13"/>
      <c r="K5" s="12" t="s">
        <v>51</v>
      </c>
      <c r="L5" s="5" t="s">
        <v>52</v>
      </c>
      <c r="M5" s="5" t="s">
        <v>51</v>
      </c>
      <c r="N5" s="5"/>
      <c r="O5" s="5" t="s">
        <v>51</v>
      </c>
      <c r="P5" s="7" t="s">
        <v>128</v>
      </c>
      <c r="Q5" s="34"/>
      <c r="R5" s="23"/>
      <c r="S5" s="28"/>
      <c r="T5" s="31"/>
    </row>
    <row r="6" spans="1:20" x14ac:dyDescent="0.45">
      <c r="A6" s="11" t="s">
        <v>2</v>
      </c>
      <c r="B6" s="5" t="s">
        <v>54</v>
      </c>
      <c r="C6" s="5">
        <v>1</v>
      </c>
      <c r="D6" s="5">
        <v>50</v>
      </c>
      <c r="E6" s="5"/>
      <c r="F6" s="5"/>
      <c r="G6" s="5"/>
      <c r="H6" s="5" t="s">
        <v>84</v>
      </c>
      <c r="I6" s="5"/>
      <c r="J6" s="13"/>
      <c r="K6" s="12"/>
      <c r="L6" s="5"/>
      <c r="M6" s="5" t="s">
        <v>51</v>
      </c>
      <c r="N6" s="5"/>
      <c r="O6" s="5"/>
      <c r="P6" s="7" t="s">
        <v>129</v>
      </c>
      <c r="Q6" s="34"/>
      <c r="R6" s="23"/>
      <c r="S6" s="28"/>
      <c r="T6" s="31"/>
    </row>
    <row r="7" spans="1:20" x14ac:dyDescent="0.45">
      <c r="A7" s="11" t="s">
        <v>130</v>
      </c>
      <c r="B7" s="5" t="s">
        <v>54</v>
      </c>
      <c r="C7" s="5">
        <v>1</v>
      </c>
      <c r="D7" s="5">
        <v>50</v>
      </c>
      <c r="E7" s="5"/>
      <c r="F7" s="5"/>
      <c r="G7" s="5"/>
      <c r="H7" s="5" t="s">
        <v>84</v>
      </c>
      <c r="I7" s="5"/>
      <c r="J7" s="6"/>
      <c r="K7" s="5"/>
      <c r="L7" s="5"/>
      <c r="M7" s="5" t="s">
        <v>51</v>
      </c>
      <c r="N7" s="5"/>
      <c r="O7" s="5"/>
      <c r="P7" s="7" t="s">
        <v>131</v>
      </c>
      <c r="Q7" s="34"/>
      <c r="R7" s="23"/>
      <c r="S7" s="28"/>
      <c r="T7" s="31"/>
    </row>
    <row r="8" spans="1:20" x14ac:dyDescent="0.45">
      <c r="A8" s="91" t="s">
        <v>132</v>
      </c>
      <c r="B8" s="92" t="s">
        <v>82</v>
      </c>
      <c r="C8" s="92">
        <v>1</v>
      </c>
      <c r="D8" s="92">
        <v>20</v>
      </c>
      <c r="E8" s="92"/>
      <c r="F8" s="92"/>
      <c r="G8" s="92"/>
      <c r="H8" s="92" t="s">
        <v>84</v>
      </c>
      <c r="I8" s="92"/>
      <c r="J8" s="93"/>
      <c r="K8" s="92" t="s">
        <v>52</v>
      </c>
      <c r="L8" s="92" t="s">
        <v>52</v>
      </c>
      <c r="M8" s="92" t="s">
        <v>51</v>
      </c>
      <c r="N8" s="92"/>
      <c r="O8" s="92"/>
      <c r="P8" s="94" t="s">
        <v>133</v>
      </c>
      <c r="Q8" s="95"/>
      <c r="R8" s="96"/>
      <c r="S8" s="97"/>
      <c r="T8" s="98"/>
    </row>
    <row r="9" spans="1:20" x14ac:dyDescent="0.45">
      <c r="A9" s="113" t="s">
        <v>1</v>
      </c>
      <c r="B9" s="113" t="s">
        <v>1</v>
      </c>
      <c r="C9" s="113"/>
      <c r="D9" s="113"/>
      <c r="E9" s="113"/>
      <c r="F9" s="113"/>
      <c r="G9" s="113"/>
      <c r="H9" s="113"/>
      <c r="I9" s="113"/>
      <c r="J9" s="119" t="s">
        <v>134</v>
      </c>
      <c r="K9" s="113"/>
      <c r="L9" s="113"/>
      <c r="M9" s="113"/>
      <c r="N9" s="113"/>
      <c r="O9" s="113"/>
      <c r="P9" s="114"/>
      <c r="Q9" s="115"/>
      <c r="R9" s="116"/>
      <c r="S9" s="117"/>
      <c r="T9" s="118"/>
    </row>
    <row r="11" spans="1:20" x14ac:dyDescent="0.45">
      <c r="A11" s="161" t="s">
        <v>57</v>
      </c>
      <c r="B11" s="162"/>
      <c r="C11" s="163"/>
    </row>
    <row r="12" spans="1:20" x14ac:dyDescent="0.45">
      <c r="A12" s="17" t="s">
        <v>58</v>
      </c>
      <c r="B12" s="16" t="s">
        <v>3</v>
      </c>
      <c r="C12" s="18" t="s">
        <v>59</v>
      </c>
    </row>
    <row r="13" spans="1:20" ht="39" customHeight="1" x14ac:dyDescent="0.45">
      <c r="A13" s="14"/>
      <c r="B13" s="15"/>
      <c r="C13" s="38"/>
      <c r="F13" s="99"/>
    </row>
    <row r="15" spans="1:20" x14ac:dyDescent="0.45">
      <c r="A15" s="164" t="s">
        <v>60</v>
      </c>
      <c r="B15" s="149"/>
      <c r="C15" s="149" t="s">
        <v>3</v>
      </c>
      <c r="D15" s="149"/>
      <c r="E15" s="149"/>
      <c r="F15" s="149"/>
      <c r="G15" s="149" t="s">
        <v>61</v>
      </c>
      <c r="H15" s="149"/>
      <c r="I15" s="149"/>
      <c r="J15" s="149" t="s">
        <v>62</v>
      </c>
      <c r="K15" s="149"/>
      <c r="L15" s="149"/>
      <c r="M15" s="149"/>
      <c r="N15" s="149"/>
      <c r="O15" s="149" t="s">
        <v>63</v>
      </c>
      <c r="P15" s="149"/>
      <c r="Q15" s="149" t="s">
        <v>64</v>
      </c>
      <c r="R15" s="150"/>
    </row>
    <row r="16" spans="1:20" x14ac:dyDescent="0.45">
      <c r="A16" s="165"/>
      <c r="B16" s="151"/>
      <c r="C16" s="151"/>
      <c r="D16" s="151"/>
      <c r="E16" s="151"/>
      <c r="F16" s="151"/>
      <c r="G16" s="19" t="s">
        <v>65</v>
      </c>
      <c r="H16" s="19" t="s">
        <v>66</v>
      </c>
      <c r="I16" s="19" t="s">
        <v>3</v>
      </c>
      <c r="J16" s="19" t="s">
        <v>33</v>
      </c>
      <c r="K16" s="151" t="s">
        <v>3</v>
      </c>
      <c r="L16" s="151"/>
      <c r="M16" s="151"/>
      <c r="N16" s="151"/>
      <c r="O16" s="19" t="s">
        <v>67</v>
      </c>
      <c r="P16" s="19" t="s">
        <v>3</v>
      </c>
      <c r="Q16" s="19" t="s">
        <v>68</v>
      </c>
      <c r="R16" s="25" t="s">
        <v>69</v>
      </c>
    </row>
    <row r="17" spans="1:18" ht="39" customHeight="1" x14ac:dyDescent="0.45">
      <c r="A17" s="146" t="s">
        <v>135</v>
      </c>
      <c r="B17" s="147"/>
      <c r="C17" s="148" t="s">
        <v>136</v>
      </c>
      <c r="D17" s="148"/>
      <c r="E17" s="148"/>
      <c r="F17" s="148"/>
      <c r="G17" s="46"/>
      <c r="H17" s="44"/>
      <c r="I17" s="45"/>
      <c r="J17" s="39"/>
      <c r="K17" s="179" t="s">
        <v>137</v>
      </c>
      <c r="L17" s="180"/>
      <c r="M17" s="180"/>
      <c r="N17" s="181"/>
      <c r="O17" s="23"/>
      <c r="P17" s="24"/>
      <c r="Q17" s="24"/>
      <c r="R17" s="27"/>
    </row>
    <row r="18" spans="1:18" ht="27.75" customHeight="1" x14ac:dyDescent="0.45">
      <c r="A18" s="146" t="s">
        <v>101</v>
      </c>
      <c r="B18" s="147"/>
      <c r="C18" s="148" t="s">
        <v>138</v>
      </c>
      <c r="D18" s="148"/>
      <c r="E18" s="148"/>
      <c r="F18" s="148"/>
      <c r="G18" s="46"/>
      <c r="H18" s="44"/>
      <c r="I18" s="45"/>
      <c r="J18" s="39"/>
      <c r="K18" s="179"/>
      <c r="L18" s="180"/>
      <c r="M18" s="180"/>
      <c r="N18" s="181"/>
      <c r="O18" s="23"/>
      <c r="P18" s="24"/>
      <c r="Q18" s="24"/>
      <c r="R18" s="27"/>
    </row>
    <row r="19" spans="1:18" ht="27.75" customHeight="1" x14ac:dyDescent="0.45">
      <c r="A19" s="146" t="s">
        <v>70</v>
      </c>
      <c r="B19" s="147"/>
      <c r="C19" s="148" t="s">
        <v>139</v>
      </c>
      <c r="D19" s="148"/>
      <c r="E19" s="148"/>
      <c r="F19" s="148"/>
      <c r="G19" s="46"/>
      <c r="H19" s="44"/>
      <c r="I19" s="45"/>
      <c r="J19" s="39"/>
      <c r="K19" s="179"/>
      <c r="L19" s="180"/>
      <c r="M19" s="180"/>
      <c r="N19" s="181"/>
      <c r="O19" s="23"/>
      <c r="P19" s="24"/>
      <c r="Q19" s="24"/>
      <c r="R19" s="27"/>
    </row>
    <row r="20" spans="1:18" ht="34.5" customHeight="1" x14ac:dyDescent="0.45">
      <c r="A20" s="146" t="s">
        <v>104</v>
      </c>
      <c r="B20" s="147"/>
      <c r="C20" s="148" t="s">
        <v>140</v>
      </c>
      <c r="D20" s="148"/>
      <c r="E20" s="148"/>
      <c r="F20" s="148"/>
      <c r="G20" s="46"/>
      <c r="H20" s="44"/>
      <c r="I20" s="45"/>
      <c r="J20" s="39"/>
      <c r="K20" s="179"/>
      <c r="L20" s="180"/>
      <c r="M20" s="180"/>
      <c r="N20" s="181"/>
      <c r="O20" s="23"/>
      <c r="P20" s="24"/>
      <c r="Q20" s="24"/>
      <c r="R20" s="27"/>
    </row>
  </sheetData>
  <mergeCells count="23"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Q15:R15"/>
    <mergeCell ref="K16:N16"/>
    <mergeCell ref="K17:N17"/>
    <mergeCell ref="A17:B17"/>
    <mergeCell ref="C17:F17"/>
    <mergeCell ref="K20:N20"/>
    <mergeCell ref="A20:B20"/>
    <mergeCell ref="C20:F20"/>
    <mergeCell ref="A18:B18"/>
    <mergeCell ref="C18:F18"/>
    <mergeCell ref="K18:N18"/>
    <mergeCell ref="A19:B19"/>
    <mergeCell ref="C19:F19"/>
    <mergeCell ref="K19:N19"/>
  </mergeCells>
  <hyperlinks>
    <hyperlink ref="A1" location="'Objetos de Dominio'!A1" display="Volver al inicio" xr:uid="{6B911B57-7D19-43F0-AD90-69C931C47897}"/>
    <hyperlink ref="A17:B17" location="'Objeto Dominio N'!R4" display="Reponsabilidad 2" xr:uid="{B9F0124D-E9DA-45E2-BE73-D09AC31EA33F}"/>
    <hyperlink ref="Q4" location="'Objeto Dominio N'!A16" display="'Objeto Dominio N'!A16" xr:uid="{3AE56007-8F59-40F7-A51B-7FCEFD61D23F}"/>
    <hyperlink ref="A1:P1" location="'Listado Objetos de Dominio'!A1" display="&lt;-Volver al inicio" xr:uid="{03A370B3-AFE4-4331-ADA5-A4DAF345677A}"/>
    <hyperlink ref="R4" location="'Objeto Dominio 1'!A17" display="'Objeto Dominio 1'!A17" xr:uid="{557A99EE-DD08-4465-A6CF-33BAF7079A13}"/>
    <hyperlink ref="S4" location="'Objeto Dominio 1'!A18" display="'Objeto Dominio 1'!A18" xr:uid="{54FFD3AA-7DED-40FA-BA6F-5F736B9F535B}"/>
    <hyperlink ref="T4" location="'Objeto Dominio 1'!A19" display="'Objeto Dominio 1'!A19" xr:uid="{EC006131-1D43-4E9C-AEA8-65C852F39FF8}"/>
    <hyperlink ref="A18:B18" location="'Objeto Dominio N'!R4" display="Reponsabilidad 2" xr:uid="{C42EB99A-3AD5-4CA3-BF45-F5C384A82997}"/>
    <hyperlink ref="A20:B20" location="'Objeto Dominio N'!R4" display="Reponsabilidad 2" xr:uid="{17E248C7-4542-42BE-8550-CB12200B6D5A}"/>
    <hyperlink ref="A19:B19" location="'Objeto Dominio N'!R4" display="Reponsabilidad 2" xr:uid="{A53F0463-D67E-43AC-81FC-F873477BE1F9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61B9-E142-4C0B-A1F0-D0D58E9BB912}">
  <dimension ref="A1:T20"/>
  <sheetViews>
    <sheetView zoomScale="70" zoomScaleNormal="70" workbookViewId="0">
      <selection activeCell="A8" sqref="A8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20" x14ac:dyDescent="0.45">
      <c r="A2" s="4" t="s">
        <v>30</v>
      </c>
      <c r="B2" s="159" t="str">
        <f>'Listado Objetos de Dominio'!$A$7</f>
        <v>Sede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0" x14ac:dyDescent="0.45">
      <c r="A3" s="4" t="s">
        <v>31</v>
      </c>
      <c r="B3" s="160" t="str">
        <f>'Listado Objetos de Dominio'!$B$7</f>
        <v>Se refiere a la o las sedes/sucursales que posee el negocio del cliente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0" x14ac:dyDescent="0.4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10" t="s">
        <v>3</v>
      </c>
      <c r="Q4" s="37" t="str">
        <f>A17</f>
        <v>Crear</v>
      </c>
      <c r="R4" s="35" t="str">
        <f>A18</f>
        <v>Actualizar datos</v>
      </c>
      <c r="S4" s="36" t="str">
        <f>A19</f>
        <v xml:space="preserve">consultar </v>
      </c>
      <c r="T4" s="2" t="str">
        <f>A20</f>
        <v>eliminar</v>
      </c>
    </row>
    <row r="5" spans="1:20" x14ac:dyDescent="0.45">
      <c r="A5" s="11" t="s">
        <v>47</v>
      </c>
      <c r="B5" s="5" t="s">
        <v>141</v>
      </c>
      <c r="C5" s="5">
        <v>1</v>
      </c>
      <c r="D5" s="5">
        <v>15</v>
      </c>
      <c r="E5" s="5"/>
      <c r="F5" s="5"/>
      <c r="G5" s="5"/>
      <c r="H5" s="5" t="s">
        <v>83</v>
      </c>
      <c r="I5" s="5"/>
      <c r="J5" s="13"/>
      <c r="K5" s="12" t="s">
        <v>51</v>
      </c>
      <c r="L5" s="5" t="s">
        <v>52</v>
      </c>
      <c r="M5" s="5" t="s">
        <v>51</v>
      </c>
      <c r="N5" s="5"/>
      <c r="O5" s="5" t="s">
        <v>51</v>
      </c>
      <c r="P5" s="7" t="s">
        <v>142</v>
      </c>
      <c r="Q5" s="34"/>
      <c r="R5" s="23"/>
      <c r="S5" s="28"/>
      <c r="T5" s="31"/>
    </row>
    <row r="6" spans="1:20" x14ac:dyDescent="0.45">
      <c r="A6" s="11" t="s">
        <v>2</v>
      </c>
      <c r="B6" s="5" t="s">
        <v>54</v>
      </c>
      <c r="C6" s="5">
        <v>1</v>
      </c>
      <c r="D6" s="5">
        <v>50</v>
      </c>
      <c r="E6" s="5"/>
      <c r="F6" s="5"/>
      <c r="G6" s="5"/>
      <c r="H6" s="5" t="s">
        <v>84</v>
      </c>
      <c r="I6" s="5"/>
      <c r="J6" s="13"/>
      <c r="K6" s="12" t="s">
        <v>52</v>
      </c>
      <c r="L6" s="5" t="s">
        <v>52</v>
      </c>
      <c r="M6" s="5" t="s">
        <v>51</v>
      </c>
      <c r="N6" s="5"/>
      <c r="O6" s="5"/>
      <c r="P6" s="7" t="s">
        <v>143</v>
      </c>
      <c r="Q6" s="34"/>
      <c r="R6" s="23"/>
      <c r="S6" s="28"/>
      <c r="T6" s="31"/>
    </row>
    <row r="7" spans="1:20" x14ac:dyDescent="0.45">
      <c r="A7" s="71" t="s">
        <v>9</v>
      </c>
      <c r="B7" s="72" t="s">
        <v>9</v>
      </c>
      <c r="C7" s="72"/>
      <c r="D7" s="72"/>
      <c r="E7" s="72"/>
      <c r="F7" s="72"/>
      <c r="G7" s="72"/>
      <c r="H7" s="72"/>
      <c r="I7" s="72"/>
      <c r="J7" s="111"/>
      <c r="K7" s="112"/>
      <c r="L7" s="72"/>
      <c r="M7" s="72"/>
      <c r="N7" s="72"/>
      <c r="O7" s="72"/>
      <c r="P7" s="74"/>
      <c r="Q7" s="75"/>
      <c r="R7" s="76"/>
      <c r="S7" s="77"/>
      <c r="T7" s="78"/>
    </row>
    <row r="8" spans="1:20" x14ac:dyDescent="0.45">
      <c r="A8" s="71" t="s">
        <v>144</v>
      </c>
      <c r="B8" s="72" t="s">
        <v>82</v>
      </c>
      <c r="C8" s="72">
        <v>1</v>
      </c>
      <c r="D8" s="72">
        <v>20</v>
      </c>
      <c r="E8" s="72"/>
      <c r="F8" s="72"/>
      <c r="G8" s="72"/>
      <c r="H8" s="72" t="s">
        <v>84</v>
      </c>
      <c r="I8" s="72"/>
      <c r="J8" s="73"/>
      <c r="K8" s="72" t="s">
        <v>52</v>
      </c>
      <c r="L8" s="72" t="s">
        <v>52</v>
      </c>
      <c r="M8" s="72" t="s">
        <v>51</v>
      </c>
      <c r="N8" s="72"/>
      <c r="O8" s="72"/>
      <c r="P8" s="74" t="s">
        <v>145</v>
      </c>
      <c r="Q8" s="75"/>
      <c r="R8" s="76"/>
      <c r="S8" s="77"/>
      <c r="T8" s="78"/>
    </row>
    <row r="9" spans="1:20" ht="26.25" x14ac:dyDescent="0.45">
      <c r="A9" s="65" t="s">
        <v>12</v>
      </c>
      <c r="B9" s="65" t="s">
        <v>12</v>
      </c>
      <c r="C9" s="65"/>
      <c r="D9" s="65"/>
      <c r="E9" s="65"/>
      <c r="F9" s="65"/>
      <c r="G9" s="65"/>
      <c r="H9" s="65"/>
      <c r="I9" s="65"/>
      <c r="J9" s="79" t="s">
        <v>146</v>
      </c>
      <c r="K9" s="65"/>
      <c r="L9" s="65"/>
      <c r="M9" s="65"/>
      <c r="N9" s="65"/>
      <c r="O9" s="65"/>
      <c r="P9" s="66"/>
      <c r="Q9" s="67"/>
      <c r="R9" s="68"/>
      <c r="S9" s="69"/>
      <c r="T9" s="70"/>
    </row>
    <row r="11" spans="1:20" x14ac:dyDescent="0.45">
      <c r="A11" s="161" t="s">
        <v>57</v>
      </c>
      <c r="B11" s="162"/>
      <c r="C11" s="163"/>
    </row>
    <row r="12" spans="1:20" x14ac:dyDescent="0.45">
      <c r="A12" s="17" t="s">
        <v>58</v>
      </c>
      <c r="B12" s="16" t="s">
        <v>3</v>
      </c>
      <c r="C12" s="18" t="s">
        <v>59</v>
      </c>
    </row>
    <row r="13" spans="1:20" ht="39" customHeight="1" x14ac:dyDescent="0.45">
      <c r="A13" s="14"/>
      <c r="B13" s="15"/>
      <c r="C13" s="38"/>
      <c r="F13" s="99"/>
    </row>
    <row r="15" spans="1:20" x14ac:dyDescent="0.45">
      <c r="A15" s="164" t="s">
        <v>60</v>
      </c>
      <c r="B15" s="149"/>
      <c r="C15" s="149" t="s">
        <v>3</v>
      </c>
      <c r="D15" s="149"/>
      <c r="E15" s="149"/>
      <c r="F15" s="149"/>
      <c r="G15" s="149" t="s">
        <v>61</v>
      </c>
      <c r="H15" s="149"/>
      <c r="I15" s="149"/>
      <c r="J15" s="149" t="s">
        <v>62</v>
      </c>
      <c r="K15" s="149"/>
      <c r="L15" s="149"/>
      <c r="M15" s="149"/>
      <c r="N15" s="149"/>
      <c r="O15" s="149" t="s">
        <v>63</v>
      </c>
      <c r="P15" s="149"/>
      <c r="Q15" s="149" t="s">
        <v>64</v>
      </c>
      <c r="R15" s="150"/>
    </row>
    <row r="16" spans="1:20" x14ac:dyDescent="0.45">
      <c r="A16" s="165"/>
      <c r="B16" s="151"/>
      <c r="C16" s="151"/>
      <c r="D16" s="151"/>
      <c r="E16" s="151"/>
      <c r="F16" s="151"/>
      <c r="G16" s="19" t="s">
        <v>65</v>
      </c>
      <c r="H16" s="19" t="s">
        <v>66</v>
      </c>
      <c r="I16" s="19" t="s">
        <v>3</v>
      </c>
      <c r="J16" s="19" t="s">
        <v>33</v>
      </c>
      <c r="K16" s="151" t="s">
        <v>3</v>
      </c>
      <c r="L16" s="151"/>
      <c r="M16" s="151"/>
      <c r="N16" s="151"/>
      <c r="O16" s="19" t="s">
        <v>67</v>
      </c>
      <c r="P16" s="19" t="s">
        <v>3</v>
      </c>
      <c r="Q16" s="19" t="s">
        <v>68</v>
      </c>
      <c r="R16" s="25" t="s">
        <v>69</v>
      </c>
    </row>
    <row r="17" spans="1:18" ht="39" customHeight="1" x14ac:dyDescent="0.45">
      <c r="A17" s="146" t="s">
        <v>147</v>
      </c>
      <c r="B17" s="147"/>
      <c r="C17" s="148" t="s">
        <v>148</v>
      </c>
      <c r="D17" s="148"/>
      <c r="E17" s="148"/>
      <c r="F17" s="148"/>
      <c r="G17" s="46"/>
      <c r="H17" s="44"/>
      <c r="I17" s="45" t="s">
        <v>149</v>
      </c>
      <c r="J17" s="39"/>
      <c r="K17" s="179" t="s">
        <v>150</v>
      </c>
      <c r="L17" s="180"/>
      <c r="M17" s="180"/>
      <c r="N17" s="181"/>
      <c r="O17" s="23"/>
      <c r="P17" s="24"/>
      <c r="Q17" s="24"/>
      <c r="R17" s="27"/>
    </row>
    <row r="18" spans="1:18" ht="27.75" customHeight="1" x14ac:dyDescent="0.45">
      <c r="A18" s="146" t="s">
        <v>101</v>
      </c>
      <c r="B18" s="147"/>
      <c r="C18" s="182" t="s">
        <v>151</v>
      </c>
      <c r="D18" s="183"/>
      <c r="E18" s="183"/>
      <c r="F18" s="184"/>
      <c r="G18" s="46"/>
      <c r="H18" s="44"/>
      <c r="I18" s="45"/>
      <c r="J18" s="39"/>
      <c r="K18" s="179"/>
      <c r="L18" s="180"/>
      <c r="M18" s="180"/>
      <c r="N18" s="181"/>
      <c r="O18" s="23"/>
      <c r="P18" s="24"/>
      <c r="Q18" s="24"/>
      <c r="R18" s="27"/>
    </row>
    <row r="19" spans="1:18" ht="27.75" customHeight="1" x14ac:dyDescent="0.45">
      <c r="A19" s="146" t="s">
        <v>152</v>
      </c>
      <c r="B19" s="147"/>
      <c r="C19" s="148" t="s">
        <v>153</v>
      </c>
      <c r="D19" s="148"/>
      <c r="E19" s="148"/>
      <c r="F19" s="148"/>
      <c r="G19" s="46"/>
      <c r="H19" s="44"/>
      <c r="I19" s="45"/>
      <c r="J19" s="39"/>
      <c r="K19" s="179"/>
      <c r="L19" s="180"/>
      <c r="M19" s="180"/>
      <c r="N19" s="181"/>
      <c r="O19" s="23"/>
      <c r="P19" s="24"/>
      <c r="Q19" s="24"/>
      <c r="R19" s="27"/>
    </row>
    <row r="20" spans="1:18" ht="34.5" customHeight="1" x14ac:dyDescent="0.45">
      <c r="A20" s="146" t="s">
        <v>154</v>
      </c>
      <c r="B20" s="147"/>
      <c r="C20" s="148" t="s">
        <v>155</v>
      </c>
      <c r="D20" s="148"/>
      <c r="E20" s="148"/>
      <c r="F20" s="148"/>
      <c r="G20" s="46"/>
      <c r="H20" s="44"/>
      <c r="I20" s="45"/>
      <c r="J20" s="39"/>
      <c r="K20" s="179"/>
      <c r="L20" s="180"/>
      <c r="M20" s="180"/>
      <c r="N20" s="181"/>
      <c r="O20" s="23"/>
      <c r="P20" s="24"/>
      <c r="Q20" s="24"/>
      <c r="R20" s="27"/>
    </row>
  </sheetData>
  <mergeCells count="23">
    <mergeCell ref="A18:B18"/>
    <mergeCell ref="C18:F18"/>
    <mergeCell ref="K18:N18"/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Q15:R15"/>
    <mergeCell ref="K16:N16"/>
    <mergeCell ref="A17:B17"/>
    <mergeCell ref="C17:F17"/>
    <mergeCell ref="K17:N17"/>
    <mergeCell ref="A19:B19"/>
    <mergeCell ref="C19:F19"/>
    <mergeCell ref="K19:N19"/>
    <mergeCell ref="A20:B20"/>
    <mergeCell ref="C20:F20"/>
    <mergeCell ref="K20:N20"/>
  </mergeCells>
  <hyperlinks>
    <hyperlink ref="A1" location="'Objetos de Dominio'!A1" display="Volver al inicio" xr:uid="{B3B3737A-7961-43B3-8829-3125C07E5C05}"/>
    <hyperlink ref="A17:B17" location="'Objeto Dominio N'!R4" display="Reponsabilidad 2" xr:uid="{A6EC2784-9179-46E8-AD27-3541D1E5E5C2}"/>
    <hyperlink ref="Q4" location="'Objeto Dominio N'!A16" display="'Objeto Dominio N'!A16" xr:uid="{7820723F-D567-4683-A813-F7CAEB59B7D5}"/>
    <hyperlink ref="A1:P1" location="'Listado Objetos de Dominio'!A1" display="&lt;-Volver al inicio" xr:uid="{A67F3DAC-E7EB-407A-93A9-8B7C78904359}"/>
    <hyperlink ref="R4" location="'Objeto Dominio 1'!A17" display="'Objeto Dominio 1'!A17" xr:uid="{17AC3B8D-FF8E-4A23-B847-6B6783D8DCDA}"/>
    <hyperlink ref="S4" location="'Objeto Dominio 1'!A18" display="'Objeto Dominio 1'!A18" xr:uid="{4F8667CE-E46D-45BD-ABA0-A80D6BBB7341}"/>
    <hyperlink ref="T4" location="'Objeto Dominio 1'!A19" display="'Objeto Dominio 1'!A19" xr:uid="{238BE088-738C-438C-8349-4B86DB7B9C4C}"/>
    <hyperlink ref="A18:B18" location="'Objeto Dominio N'!R4" display="Reponsabilidad 2" xr:uid="{A4736EEE-08B2-45C2-A06C-6E3EBC280436}"/>
    <hyperlink ref="A20:B20" location="'Objeto Dominio N'!R4" display="Reponsabilidad 2" xr:uid="{3DB47889-0BE0-45A4-BA34-409245254FBC}"/>
    <hyperlink ref="A19:B19" location="'Objeto Dominio N'!R4" display="Reponsabilidad 2" xr:uid="{D2468193-B7F1-45F1-B786-B60162FEF172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D58B-3CE9-41DF-8843-F1790C39D8A2}">
  <dimension ref="A1:T16"/>
  <sheetViews>
    <sheetView zoomScale="70" zoomScaleNormal="70" workbookViewId="0">
      <selection activeCell="D18" sqref="D18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20" x14ac:dyDescent="0.45">
      <c r="A2" s="4" t="s">
        <v>30</v>
      </c>
      <c r="B2" s="159" t="str">
        <f>'Listado Objetos de Dominio'!$A$8</f>
        <v>Colaborador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0" x14ac:dyDescent="0.45">
      <c r="A3" s="4" t="s">
        <v>31</v>
      </c>
      <c r="B3" s="160" t="str">
        <f>'Listado Objetos de Dominio'!$B$8</f>
        <v>Indica a un usuario externo encargado de ayudar al cliente con las solicitudes de cotización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0" x14ac:dyDescent="0.4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10" t="s">
        <v>3</v>
      </c>
      <c r="Q4" s="37" t="str">
        <f>A16</f>
        <v>Invitar</v>
      </c>
      <c r="R4" s="35" t="e">
        <f>#REF!</f>
        <v>#REF!</v>
      </c>
      <c r="S4" s="36" t="e">
        <f>#REF!</f>
        <v>#REF!</v>
      </c>
      <c r="T4" s="2" t="e">
        <f>#REF!</f>
        <v>#REF!</v>
      </c>
    </row>
    <row r="5" spans="1:20" x14ac:dyDescent="0.45">
      <c r="A5" s="11" t="s">
        <v>81</v>
      </c>
      <c r="B5" s="5" t="s">
        <v>82</v>
      </c>
      <c r="C5" s="5">
        <v>1</v>
      </c>
      <c r="D5" s="5">
        <v>15</v>
      </c>
      <c r="E5" s="5"/>
      <c r="F5" s="5"/>
      <c r="G5" s="5"/>
      <c r="H5" s="5" t="s">
        <v>83</v>
      </c>
      <c r="I5" s="5"/>
      <c r="J5" s="13"/>
      <c r="K5" s="12" t="s">
        <v>51</v>
      </c>
      <c r="L5" s="5" t="s">
        <v>52</v>
      </c>
      <c r="M5" s="5" t="s">
        <v>51</v>
      </c>
      <c r="N5" s="5"/>
      <c r="O5" s="5" t="s">
        <v>51</v>
      </c>
      <c r="P5" s="7" t="s">
        <v>156</v>
      </c>
      <c r="Q5" s="34"/>
      <c r="R5" s="23"/>
      <c r="S5" s="28"/>
      <c r="T5" s="31"/>
    </row>
    <row r="6" spans="1:20" x14ac:dyDescent="0.45">
      <c r="A6" s="71" t="s">
        <v>88</v>
      </c>
      <c r="B6" s="72" t="s">
        <v>82</v>
      </c>
      <c r="C6" s="72">
        <v>1</v>
      </c>
      <c r="D6" s="72">
        <v>20</v>
      </c>
      <c r="E6" s="72"/>
      <c r="F6" s="72"/>
      <c r="G6" s="72"/>
      <c r="H6" s="72"/>
      <c r="I6" s="72"/>
      <c r="J6" s="73" t="s">
        <v>89</v>
      </c>
      <c r="K6" s="72" t="s">
        <v>52</v>
      </c>
      <c r="L6" s="72" t="s">
        <v>52</v>
      </c>
      <c r="M6" s="72" t="s">
        <v>51</v>
      </c>
      <c r="N6" s="72"/>
      <c r="O6" s="72"/>
      <c r="P6" s="74" t="s">
        <v>157</v>
      </c>
      <c r="Q6" s="34"/>
      <c r="R6" s="23"/>
      <c r="S6" s="28"/>
      <c r="T6" s="31"/>
    </row>
    <row r="7" spans="1:20" ht="26.25" x14ac:dyDescent="0.45">
      <c r="A7" s="71" t="s">
        <v>1</v>
      </c>
      <c r="B7" s="72" t="s">
        <v>1</v>
      </c>
      <c r="C7" s="72"/>
      <c r="D7" s="72"/>
      <c r="E7" s="72"/>
      <c r="F7" s="72"/>
      <c r="G7" s="72"/>
      <c r="H7" s="72"/>
      <c r="I7" s="72"/>
      <c r="J7" s="79" t="s">
        <v>158</v>
      </c>
      <c r="K7" s="72" t="s">
        <v>52</v>
      </c>
      <c r="L7" s="72" t="s">
        <v>52</v>
      </c>
      <c r="M7" s="72" t="s">
        <v>51</v>
      </c>
      <c r="N7" s="72"/>
      <c r="O7" s="72"/>
      <c r="P7" s="74"/>
      <c r="Q7" s="75"/>
      <c r="R7" s="76"/>
      <c r="S7" s="77"/>
      <c r="T7" s="78"/>
    </row>
    <row r="8" spans="1:20" x14ac:dyDescent="0.45">
      <c r="A8" s="65" t="s">
        <v>159</v>
      </c>
      <c r="B8" s="65" t="s">
        <v>54</v>
      </c>
      <c r="C8" s="65"/>
      <c r="D8" s="65"/>
      <c r="E8" s="65"/>
      <c r="F8" s="65"/>
      <c r="G8" s="65"/>
      <c r="H8" s="65"/>
      <c r="I8" s="65" t="s">
        <v>160</v>
      </c>
      <c r="J8" s="79"/>
      <c r="K8" s="65"/>
      <c r="L8" s="65"/>
      <c r="M8" s="65"/>
      <c r="N8" s="65"/>
      <c r="O8" s="65"/>
      <c r="P8" s="66" t="s">
        <v>161</v>
      </c>
      <c r="Q8" s="67"/>
      <c r="R8" s="68"/>
      <c r="S8" s="69"/>
      <c r="T8" s="70"/>
    </row>
    <row r="9" spans="1:20" x14ac:dyDescent="0.45">
      <c r="I9" s="99"/>
    </row>
    <row r="10" spans="1:20" x14ac:dyDescent="0.45">
      <c r="A10" s="161" t="s">
        <v>57</v>
      </c>
      <c r="B10" s="162"/>
      <c r="C10" s="163"/>
    </row>
    <row r="11" spans="1:20" x14ac:dyDescent="0.45">
      <c r="A11" s="17" t="s">
        <v>58</v>
      </c>
      <c r="B11" s="16" t="s">
        <v>3</v>
      </c>
      <c r="C11" s="18" t="s">
        <v>59</v>
      </c>
    </row>
    <row r="12" spans="1:20" ht="39" customHeight="1" x14ac:dyDescent="0.45">
      <c r="A12" s="14"/>
      <c r="B12" s="15"/>
      <c r="C12" s="38"/>
      <c r="F12" s="99"/>
    </row>
    <row r="14" spans="1:20" x14ac:dyDescent="0.45">
      <c r="A14" s="164" t="s">
        <v>60</v>
      </c>
      <c r="B14" s="149"/>
      <c r="C14" s="149" t="s">
        <v>3</v>
      </c>
      <c r="D14" s="149"/>
      <c r="E14" s="149"/>
      <c r="F14" s="149"/>
      <c r="G14" s="149" t="s">
        <v>61</v>
      </c>
      <c r="H14" s="149"/>
      <c r="I14" s="149"/>
      <c r="J14" s="149" t="s">
        <v>62</v>
      </c>
      <c r="K14" s="149"/>
      <c r="L14" s="149"/>
      <c r="M14" s="149"/>
      <c r="N14" s="149"/>
      <c r="O14" s="149" t="s">
        <v>63</v>
      </c>
      <c r="P14" s="149"/>
      <c r="Q14" s="149" t="s">
        <v>64</v>
      </c>
      <c r="R14" s="150"/>
    </row>
    <row r="15" spans="1:20" x14ac:dyDescent="0.45">
      <c r="A15" s="165"/>
      <c r="B15" s="151"/>
      <c r="C15" s="151"/>
      <c r="D15" s="151"/>
      <c r="E15" s="151"/>
      <c r="F15" s="151"/>
      <c r="G15" s="19" t="s">
        <v>65</v>
      </c>
      <c r="H15" s="19" t="s">
        <v>66</v>
      </c>
      <c r="I15" s="19" t="s">
        <v>3</v>
      </c>
      <c r="J15" s="19" t="s">
        <v>33</v>
      </c>
      <c r="K15" s="151" t="s">
        <v>3</v>
      </c>
      <c r="L15" s="151"/>
      <c r="M15" s="151"/>
      <c r="N15" s="151"/>
      <c r="O15" s="19" t="s">
        <v>67</v>
      </c>
      <c r="P15" s="19" t="s">
        <v>3</v>
      </c>
      <c r="Q15" s="19" t="s">
        <v>68</v>
      </c>
      <c r="R15" s="25" t="s">
        <v>69</v>
      </c>
    </row>
    <row r="16" spans="1:20" ht="39" customHeight="1" x14ac:dyDescent="0.45">
      <c r="A16" s="146" t="s">
        <v>162</v>
      </c>
      <c r="B16" s="147"/>
      <c r="C16" s="148" t="s">
        <v>163</v>
      </c>
      <c r="D16" s="148"/>
      <c r="E16" s="148"/>
      <c r="F16" s="148"/>
      <c r="G16" s="46"/>
      <c r="H16" s="44"/>
      <c r="I16" s="45" t="s">
        <v>164</v>
      </c>
      <c r="J16" s="39"/>
      <c r="K16" s="179" t="s">
        <v>165</v>
      </c>
      <c r="L16" s="180"/>
      <c r="M16" s="180"/>
      <c r="N16" s="181"/>
      <c r="O16" s="23"/>
      <c r="P16" s="24"/>
      <c r="Q16" s="24"/>
      <c r="R16" s="27"/>
    </row>
  </sheetData>
  <mergeCells count="14">
    <mergeCell ref="A1:P1"/>
    <mergeCell ref="B2:P2"/>
    <mergeCell ref="B3:P3"/>
    <mergeCell ref="A10:C10"/>
    <mergeCell ref="A14:B15"/>
    <mergeCell ref="C14:F15"/>
    <mergeCell ref="G14:I14"/>
    <mergeCell ref="J14:N14"/>
    <mergeCell ref="O14:P14"/>
    <mergeCell ref="Q14:R14"/>
    <mergeCell ref="K15:N15"/>
    <mergeCell ref="A16:B16"/>
    <mergeCell ref="C16:F16"/>
    <mergeCell ref="K16:N16"/>
  </mergeCells>
  <hyperlinks>
    <hyperlink ref="A1" location="'Objetos de Dominio'!A1" display="Volver al inicio" xr:uid="{301DAB51-488B-4C33-9473-4F36722ECD3A}"/>
    <hyperlink ref="A16:B16" location="'Objeto Dominio N'!R4" display="Reponsabilidad 2" xr:uid="{3680C32B-988F-4953-AF38-B54A4F128E79}"/>
    <hyperlink ref="Q4" location="'Objeto Dominio N'!A16" display="'Objeto Dominio N'!A16" xr:uid="{DA671AF3-271A-42D2-9131-CCFB2D7E086F}"/>
    <hyperlink ref="A1:P1" location="'Listado Objetos de Dominio'!A1" display="&lt;-Volver al inicio" xr:uid="{D3A5AD04-1D3A-46AC-BEAF-AA917DA4CD90}"/>
    <hyperlink ref="R4" location="'Objeto Dominio 1'!A17" display="'Objeto Dominio 1'!A17" xr:uid="{D87639D7-8490-4579-B724-9F290BC2A4C6}"/>
    <hyperlink ref="S4" location="'Objeto Dominio 1'!A18" display="'Objeto Dominio 1'!A18" xr:uid="{4512870F-FFF5-4462-8F5F-574A3993356E}"/>
    <hyperlink ref="T4" location="'Objeto Dominio 1'!A19" display="'Objeto Dominio 1'!A19" xr:uid="{131CB5BC-AD80-4BD4-84F5-656AC9F4791F}"/>
  </hyperlinks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B261-ECD3-4A45-A204-F4AEFAE903A4}">
  <dimension ref="A1:T23"/>
  <sheetViews>
    <sheetView topLeftCell="A13" zoomScale="70" zoomScaleNormal="70" workbookViewId="0">
      <selection activeCell="C22" sqref="C22:F22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20" x14ac:dyDescent="0.45">
      <c r="A2" s="4" t="s">
        <v>30</v>
      </c>
      <c r="B2" s="159" t="str">
        <f>'Listado Objetos de Dominio'!$A$9</f>
        <v>Solicitud cotización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0" x14ac:dyDescent="0.45">
      <c r="A3" s="4" t="s">
        <v>31</v>
      </c>
      <c r="B3" s="160" t="str">
        <f>'Listado Objetos de Dominio'!$B$9</f>
        <v>Se refiere al documento que diligencia el cliente solicitando la cotización de ciertos productos a los proveedores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0" x14ac:dyDescent="0.4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10" t="s">
        <v>3</v>
      </c>
      <c r="Q4" s="37" t="str">
        <f>A19</f>
        <v>crear</v>
      </c>
      <c r="R4" s="35" t="str">
        <f>A20</f>
        <v>editar</v>
      </c>
      <c r="S4" s="36" t="str">
        <f>A21</f>
        <v>consultar</v>
      </c>
      <c r="T4" s="2" t="str">
        <f>A22</f>
        <v>eliminar</v>
      </c>
    </row>
    <row r="5" spans="1:20" x14ac:dyDescent="0.45">
      <c r="A5" s="11" t="s">
        <v>47</v>
      </c>
      <c r="B5" s="5" t="s">
        <v>82</v>
      </c>
      <c r="C5" s="5">
        <v>1</v>
      </c>
      <c r="D5" s="5">
        <v>15</v>
      </c>
      <c r="E5" s="5"/>
      <c r="F5" s="5"/>
      <c r="G5" s="5"/>
      <c r="H5" s="5" t="s">
        <v>83</v>
      </c>
      <c r="I5" s="5"/>
      <c r="J5" s="13"/>
      <c r="K5" s="12" t="s">
        <v>51</v>
      </c>
      <c r="L5" s="5" t="s">
        <v>52</v>
      </c>
      <c r="M5" s="5" t="s">
        <v>51</v>
      </c>
      <c r="N5" s="5"/>
      <c r="O5" s="5" t="s">
        <v>51</v>
      </c>
      <c r="P5" s="7" t="s">
        <v>166</v>
      </c>
      <c r="Q5" s="34"/>
      <c r="R5" s="23"/>
      <c r="S5" s="28"/>
      <c r="T5" s="31"/>
    </row>
    <row r="6" spans="1:20" x14ac:dyDescent="0.45">
      <c r="A6" s="71" t="s">
        <v>167</v>
      </c>
      <c r="B6" s="72" t="s">
        <v>168</v>
      </c>
      <c r="C6" s="72">
        <v>1</v>
      </c>
      <c r="D6" s="72">
        <v>20</v>
      </c>
      <c r="E6" s="72"/>
      <c r="F6" s="72"/>
      <c r="G6" s="72"/>
      <c r="H6" s="72"/>
      <c r="I6" s="72"/>
      <c r="J6" s="73"/>
      <c r="K6" s="72" t="s">
        <v>52</v>
      </c>
      <c r="L6" s="72" t="s">
        <v>52</v>
      </c>
      <c r="M6" s="72" t="s">
        <v>51</v>
      </c>
      <c r="N6" s="72"/>
      <c r="O6" s="72"/>
      <c r="P6" s="74" t="s">
        <v>169</v>
      </c>
      <c r="Q6" s="34"/>
      <c r="R6" s="23"/>
      <c r="S6" s="28"/>
      <c r="T6" s="31"/>
    </row>
    <row r="7" spans="1:20" x14ac:dyDescent="0.45">
      <c r="A7" s="71" t="s">
        <v>170</v>
      </c>
      <c r="B7" s="72" t="s">
        <v>168</v>
      </c>
      <c r="C7" s="72">
        <v>1</v>
      </c>
      <c r="D7" s="72">
        <v>20</v>
      </c>
      <c r="E7" s="72"/>
      <c r="F7" s="72"/>
      <c r="G7" s="72"/>
      <c r="H7" s="72" t="s">
        <v>84</v>
      </c>
      <c r="I7" s="72"/>
      <c r="J7" s="73"/>
      <c r="K7" s="72" t="s">
        <v>52</v>
      </c>
      <c r="L7" s="72" t="s">
        <v>52</v>
      </c>
      <c r="M7" s="72" t="s">
        <v>51</v>
      </c>
      <c r="N7" s="72"/>
      <c r="O7" s="72"/>
      <c r="P7" s="74" t="s">
        <v>171</v>
      </c>
      <c r="Q7" s="75"/>
      <c r="R7" s="76"/>
      <c r="S7" s="77"/>
      <c r="T7" s="78"/>
    </row>
    <row r="8" spans="1:20" x14ac:dyDescent="0.45">
      <c r="A8" s="100" t="s">
        <v>172</v>
      </c>
      <c r="B8" s="100" t="s">
        <v>54</v>
      </c>
      <c r="C8" s="100"/>
      <c r="D8" s="100"/>
      <c r="E8" s="100"/>
      <c r="F8" s="100"/>
      <c r="G8" s="100"/>
      <c r="H8" s="100"/>
      <c r="I8" s="100" t="s">
        <v>160</v>
      </c>
      <c r="J8" s="101"/>
      <c r="K8" s="100"/>
      <c r="L8" s="100"/>
      <c r="M8" s="100"/>
      <c r="N8" s="100"/>
      <c r="O8" s="100"/>
      <c r="P8" s="102" t="s">
        <v>173</v>
      </c>
      <c r="Q8" s="103"/>
      <c r="R8" s="104"/>
      <c r="S8" s="105"/>
      <c r="T8" s="106"/>
    </row>
    <row r="9" spans="1:20" ht="26.25" x14ac:dyDescent="0.45">
      <c r="A9" s="65" t="s">
        <v>1</v>
      </c>
      <c r="B9" s="65" t="s">
        <v>1</v>
      </c>
      <c r="C9" s="65"/>
      <c r="D9" s="65"/>
      <c r="E9" s="65"/>
      <c r="F9" s="65"/>
      <c r="G9" s="65"/>
      <c r="H9" s="65"/>
      <c r="I9" s="65"/>
      <c r="J9" s="101" t="s">
        <v>158</v>
      </c>
      <c r="K9" s="65"/>
      <c r="L9" s="65"/>
      <c r="M9" s="65"/>
      <c r="N9" s="65"/>
      <c r="O9" s="65"/>
      <c r="P9" s="66"/>
      <c r="Q9" s="67"/>
      <c r="R9" s="68"/>
      <c r="S9" s="69"/>
      <c r="T9" s="70"/>
    </row>
    <row r="10" spans="1:20" ht="26.25" x14ac:dyDescent="0.45">
      <c r="A10" s="65" t="s">
        <v>14</v>
      </c>
      <c r="B10" s="65" t="s">
        <v>14</v>
      </c>
      <c r="C10" s="65"/>
      <c r="D10" s="65"/>
      <c r="E10" s="65"/>
      <c r="F10" s="65"/>
      <c r="G10" s="65"/>
      <c r="H10" s="65"/>
      <c r="I10" s="107"/>
      <c r="J10" s="79" t="s">
        <v>174</v>
      </c>
      <c r="K10" s="108"/>
      <c r="L10" s="65"/>
      <c r="M10" s="65"/>
      <c r="N10" s="65"/>
      <c r="O10" s="65"/>
      <c r="P10" s="66"/>
      <c r="Q10" s="67"/>
      <c r="R10" s="68"/>
      <c r="S10" s="69"/>
      <c r="T10" s="70"/>
    </row>
    <row r="11" spans="1:20" ht="26.25" x14ac:dyDescent="0.45">
      <c r="A11" s="113" t="s">
        <v>20</v>
      </c>
      <c r="B11" s="113" t="s">
        <v>20</v>
      </c>
      <c r="C11" s="113"/>
      <c r="D11" s="113"/>
      <c r="E11" s="113"/>
      <c r="F11" s="113"/>
      <c r="G11" s="113"/>
      <c r="H11" s="113"/>
      <c r="I11" s="113"/>
      <c r="J11" s="119" t="s">
        <v>175</v>
      </c>
      <c r="K11" s="113"/>
      <c r="L11" s="113"/>
      <c r="M11" s="113"/>
      <c r="N11" s="113"/>
      <c r="O11" s="113"/>
      <c r="P11" s="114"/>
      <c r="Q11" s="115"/>
      <c r="R11" s="116"/>
      <c r="S11" s="117"/>
      <c r="T11" s="118"/>
    </row>
    <row r="12" spans="1:20" x14ac:dyDescent="0.45">
      <c r="I12" s="99"/>
    </row>
    <row r="13" spans="1:20" x14ac:dyDescent="0.45">
      <c r="A13" s="161" t="s">
        <v>57</v>
      </c>
      <c r="B13" s="162"/>
      <c r="C13" s="163"/>
    </row>
    <row r="14" spans="1:20" x14ac:dyDescent="0.45">
      <c r="A14" s="17" t="s">
        <v>58</v>
      </c>
      <c r="B14" s="16" t="s">
        <v>3</v>
      </c>
      <c r="C14" s="18" t="s">
        <v>59</v>
      </c>
    </row>
    <row r="15" spans="1:20" ht="39" customHeight="1" x14ac:dyDescent="0.45">
      <c r="A15" s="14"/>
      <c r="B15" s="15"/>
      <c r="C15" s="38"/>
      <c r="F15" s="99"/>
    </row>
    <row r="17" spans="1:18" x14ac:dyDescent="0.45">
      <c r="A17" s="164" t="s">
        <v>60</v>
      </c>
      <c r="B17" s="149"/>
      <c r="C17" s="149" t="s">
        <v>3</v>
      </c>
      <c r="D17" s="149"/>
      <c r="E17" s="149"/>
      <c r="F17" s="149"/>
      <c r="G17" s="149" t="s">
        <v>61</v>
      </c>
      <c r="H17" s="149"/>
      <c r="I17" s="149"/>
      <c r="J17" s="149" t="s">
        <v>62</v>
      </c>
      <c r="K17" s="149"/>
      <c r="L17" s="149"/>
      <c r="M17" s="149"/>
      <c r="N17" s="149"/>
      <c r="O17" s="149" t="s">
        <v>63</v>
      </c>
      <c r="P17" s="149"/>
      <c r="Q17" s="149" t="s">
        <v>64</v>
      </c>
      <c r="R17" s="150"/>
    </row>
    <row r="18" spans="1:18" x14ac:dyDescent="0.45">
      <c r="A18" s="165"/>
      <c r="B18" s="151"/>
      <c r="C18" s="151"/>
      <c r="D18" s="151"/>
      <c r="E18" s="151"/>
      <c r="F18" s="151"/>
      <c r="G18" s="19" t="s">
        <v>65</v>
      </c>
      <c r="H18" s="19" t="s">
        <v>66</v>
      </c>
      <c r="I18" s="19" t="s">
        <v>3</v>
      </c>
      <c r="J18" s="19" t="s">
        <v>33</v>
      </c>
      <c r="K18" s="151" t="s">
        <v>3</v>
      </c>
      <c r="L18" s="151"/>
      <c r="M18" s="151"/>
      <c r="N18" s="151"/>
      <c r="O18" s="19" t="s">
        <v>67</v>
      </c>
      <c r="P18" s="19" t="s">
        <v>3</v>
      </c>
      <c r="Q18" s="19" t="s">
        <v>68</v>
      </c>
      <c r="R18" s="25" t="s">
        <v>69</v>
      </c>
    </row>
    <row r="19" spans="1:18" ht="47.25" customHeight="1" x14ac:dyDescent="0.45">
      <c r="A19" s="146" t="s">
        <v>176</v>
      </c>
      <c r="B19" s="147"/>
      <c r="C19" s="148" t="s">
        <v>177</v>
      </c>
      <c r="D19" s="148"/>
      <c r="E19" s="148"/>
      <c r="F19" s="148"/>
      <c r="G19" s="46"/>
      <c r="H19" s="44"/>
      <c r="I19" s="45"/>
      <c r="J19" s="39"/>
      <c r="K19" s="179"/>
      <c r="L19" s="180"/>
      <c r="M19" s="180"/>
      <c r="N19" s="181"/>
      <c r="O19" s="23"/>
      <c r="P19" s="24"/>
      <c r="Q19" s="24"/>
      <c r="R19" s="27"/>
    </row>
    <row r="20" spans="1:18" ht="27.75" customHeight="1" x14ac:dyDescent="0.45">
      <c r="A20" s="146" t="s">
        <v>178</v>
      </c>
      <c r="B20" s="147"/>
      <c r="C20" s="148" t="s">
        <v>179</v>
      </c>
      <c r="D20" s="148"/>
      <c r="E20" s="148"/>
      <c r="F20" s="148"/>
      <c r="G20" s="46"/>
      <c r="H20" s="44"/>
      <c r="I20" s="45"/>
      <c r="J20" s="39"/>
      <c r="K20" s="179"/>
      <c r="L20" s="180"/>
      <c r="M20" s="180"/>
      <c r="N20" s="181"/>
      <c r="O20" s="23"/>
      <c r="P20" s="24"/>
      <c r="Q20" s="24"/>
      <c r="R20" s="27"/>
    </row>
    <row r="21" spans="1:18" ht="27.75" customHeight="1" x14ac:dyDescent="0.45">
      <c r="A21" s="146" t="s">
        <v>180</v>
      </c>
      <c r="B21" s="147"/>
      <c r="C21" s="148" t="s">
        <v>181</v>
      </c>
      <c r="D21" s="148"/>
      <c r="E21" s="148"/>
      <c r="F21" s="148"/>
      <c r="G21" s="46"/>
      <c r="H21" s="44"/>
      <c r="I21" s="45"/>
      <c r="J21" s="39"/>
      <c r="K21" s="179"/>
      <c r="L21" s="180"/>
      <c r="M21" s="180"/>
      <c r="N21" s="181"/>
      <c r="O21" s="23"/>
      <c r="P21" s="24"/>
      <c r="Q21" s="24"/>
      <c r="R21" s="27"/>
    </row>
    <row r="22" spans="1:18" ht="34.5" customHeight="1" x14ac:dyDescent="0.45">
      <c r="A22" s="146" t="s">
        <v>154</v>
      </c>
      <c r="B22" s="147"/>
      <c r="C22" s="148" t="s">
        <v>182</v>
      </c>
      <c r="D22" s="148"/>
      <c r="E22" s="148"/>
      <c r="F22" s="148"/>
      <c r="G22" s="46"/>
      <c r="H22" s="44"/>
      <c r="I22" s="45"/>
      <c r="J22" s="39"/>
      <c r="K22" s="179"/>
      <c r="L22" s="180"/>
      <c r="M22" s="180"/>
      <c r="N22" s="181"/>
      <c r="O22" s="23"/>
      <c r="P22" s="24"/>
      <c r="Q22" s="24"/>
      <c r="R22" s="27"/>
    </row>
    <row r="23" spans="1:18" ht="34.5" customHeight="1" x14ac:dyDescent="0.45">
      <c r="A23" s="185" t="s">
        <v>183</v>
      </c>
      <c r="B23" s="185"/>
      <c r="C23" s="186" t="s">
        <v>184</v>
      </c>
      <c r="D23" s="186"/>
      <c r="E23" s="186"/>
      <c r="F23" s="186"/>
      <c r="G23" s="129"/>
      <c r="H23" s="127"/>
      <c r="I23" s="128"/>
      <c r="J23" s="130"/>
      <c r="K23" s="131"/>
      <c r="L23" s="131"/>
      <c r="M23" s="131"/>
      <c r="N23" s="131"/>
      <c r="O23" s="116"/>
      <c r="P23" s="132"/>
      <c r="Q23" s="132"/>
      <c r="R23" s="116"/>
    </row>
  </sheetData>
  <mergeCells count="25">
    <mergeCell ref="A20:B20"/>
    <mergeCell ref="C20:F20"/>
    <mergeCell ref="K20:N20"/>
    <mergeCell ref="A1:P1"/>
    <mergeCell ref="B2:P2"/>
    <mergeCell ref="B3:P3"/>
    <mergeCell ref="A13:C13"/>
    <mergeCell ref="A17:B18"/>
    <mergeCell ref="C17:F18"/>
    <mergeCell ref="G17:I17"/>
    <mergeCell ref="J17:N17"/>
    <mergeCell ref="O17:P17"/>
    <mergeCell ref="Q17:R17"/>
    <mergeCell ref="K18:N18"/>
    <mergeCell ref="A19:B19"/>
    <mergeCell ref="C19:F19"/>
    <mergeCell ref="K19:N19"/>
    <mergeCell ref="A23:B23"/>
    <mergeCell ref="C23:F23"/>
    <mergeCell ref="A21:B21"/>
    <mergeCell ref="C21:F21"/>
    <mergeCell ref="K21:N21"/>
    <mergeCell ref="A22:B22"/>
    <mergeCell ref="C22:F22"/>
    <mergeCell ref="K22:N22"/>
  </mergeCells>
  <hyperlinks>
    <hyperlink ref="A1" location="'Objetos de Dominio'!A1" display="Volver al inicio" xr:uid="{28135C4C-490D-4950-96A2-E78F9FDFC8C3}"/>
    <hyperlink ref="A19:B19" location="'Objeto Dominio N'!R4" display="Reponsabilidad 2" xr:uid="{184B062E-3CE9-4ED3-A4EE-E73C3C39A3F2}"/>
    <hyperlink ref="Q4" location="'Objeto Dominio N'!A16" display="'Objeto Dominio N'!A16" xr:uid="{6AE0D6FF-C32C-4433-9415-FE1E1355821E}"/>
    <hyperlink ref="A1:P1" location="'Listado Objetos de Dominio'!A1" display="&lt;-Volver al inicio" xr:uid="{590935BC-E412-4867-A60E-033BFCA1C471}"/>
    <hyperlink ref="R4" location="'Objeto Dominio 1'!A17" display="'Objeto Dominio 1'!A17" xr:uid="{823D6CAA-C01D-4E46-8A03-29226EF9505A}"/>
    <hyperlink ref="S4" location="'Objeto Dominio 1'!A18" display="'Objeto Dominio 1'!A18" xr:uid="{DF0E09B1-6319-442A-8041-DC4BE5E3EA0D}"/>
    <hyperlink ref="T4" location="'Objeto Dominio 1'!A19" display="'Objeto Dominio 1'!A19" xr:uid="{755E7541-98CC-4ECB-8C01-AD07117AD10C}"/>
    <hyperlink ref="A20:B20" location="'Objeto Dominio N'!R4" display="Reponsabilidad 2" xr:uid="{5ADA3FDC-5BC6-4AD9-BCFF-2F0FD7CEAE29}"/>
    <hyperlink ref="A22:B22" location="'Objeto Dominio N'!R4" display="Reponsabilidad 2" xr:uid="{48E4CFE4-8452-4D37-9BC6-999CA9CCEFE1}"/>
    <hyperlink ref="A21:B21" location="'Objeto Dominio N'!R4" display="Reponsabilidad 2" xr:uid="{1F734B16-D869-4605-97AF-22C3892439E2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87A3-D8A2-46C2-B1B4-295B9AB64438}">
  <dimension ref="A1:T20"/>
  <sheetViews>
    <sheetView topLeftCell="A6" zoomScale="70" zoomScaleNormal="70" workbookViewId="0">
      <selection activeCell="A17" sqref="A17:B17"/>
    </sheetView>
  </sheetViews>
  <sheetFormatPr baseColWidth="10" defaultColWidth="11.3984375" defaultRowHeight="14.25" x14ac:dyDescent="0.45"/>
  <cols>
    <col min="1" max="1" width="23.86328125" style="1" bestFit="1" customWidth="1"/>
    <col min="2" max="2" width="18.59765625" style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20" x14ac:dyDescent="0.45">
      <c r="A2" s="4" t="s">
        <v>30</v>
      </c>
      <c r="B2" s="159" t="str">
        <f>'Listado Objetos de Dominio'!$A$10</f>
        <v>Producto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0" x14ac:dyDescent="0.45">
      <c r="A3" s="4" t="s">
        <v>31</v>
      </c>
      <c r="B3" s="160" t="str">
        <f>'Listado Objetos de Dominio'!$B$10</f>
        <v>Indica el producto que se crea en la solicitud de cotización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0" x14ac:dyDescent="0.4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10" t="s">
        <v>3</v>
      </c>
      <c r="Q4" s="37">
        <f>A17</f>
        <v>0</v>
      </c>
      <c r="R4" s="35">
        <f>A18</f>
        <v>0</v>
      </c>
      <c r="S4" s="36">
        <f>A19</f>
        <v>0</v>
      </c>
      <c r="T4" s="2">
        <f>A20</f>
        <v>0</v>
      </c>
    </row>
    <row r="5" spans="1:20" x14ac:dyDescent="0.45">
      <c r="A5" s="11" t="s">
        <v>185</v>
      </c>
      <c r="B5" s="5" t="s">
        <v>141</v>
      </c>
      <c r="C5" s="5">
        <v>1</v>
      </c>
      <c r="D5" s="5">
        <v>15</v>
      </c>
      <c r="E5" s="5"/>
      <c r="F5" s="5"/>
      <c r="G5" s="5"/>
      <c r="H5" s="5" t="s">
        <v>83</v>
      </c>
      <c r="I5" s="5"/>
      <c r="J5" s="13"/>
      <c r="K5" s="12" t="s">
        <v>51</v>
      </c>
      <c r="L5" s="5" t="s">
        <v>52</v>
      </c>
      <c r="M5" s="5" t="s">
        <v>51</v>
      </c>
      <c r="N5" s="5"/>
      <c r="O5" s="5" t="s">
        <v>51</v>
      </c>
      <c r="P5" s="7" t="s">
        <v>186</v>
      </c>
      <c r="Q5" s="34"/>
      <c r="R5" s="23"/>
      <c r="S5" s="28"/>
      <c r="T5" s="31"/>
    </row>
    <row r="6" spans="1:20" x14ac:dyDescent="0.45">
      <c r="A6" s="71" t="s">
        <v>2</v>
      </c>
      <c r="B6" s="72" t="s">
        <v>82</v>
      </c>
      <c r="C6" s="72">
        <v>1</v>
      </c>
      <c r="D6" s="72">
        <v>50</v>
      </c>
      <c r="E6" s="72"/>
      <c r="F6" s="72"/>
      <c r="G6" s="72"/>
      <c r="H6" s="72"/>
      <c r="I6" s="72"/>
      <c r="J6" s="73"/>
      <c r="K6" s="72" t="s">
        <v>52</v>
      </c>
      <c r="L6" s="72" t="s">
        <v>52</v>
      </c>
      <c r="M6" s="72" t="s">
        <v>51</v>
      </c>
      <c r="N6" s="72"/>
      <c r="O6" s="72"/>
      <c r="P6" s="74" t="s">
        <v>187</v>
      </c>
      <c r="Q6" s="34"/>
      <c r="R6" s="23"/>
      <c r="S6" s="28"/>
      <c r="T6" s="31"/>
    </row>
    <row r="7" spans="1:20" x14ac:dyDescent="0.45">
      <c r="A7" s="71" t="s">
        <v>188</v>
      </c>
      <c r="B7" s="72" t="s">
        <v>189</v>
      </c>
      <c r="C7" s="72"/>
      <c r="D7" s="72"/>
      <c r="E7" s="72"/>
      <c r="F7" s="72"/>
      <c r="G7" s="72"/>
      <c r="H7" s="72"/>
      <c r="I7" s="72"/>
      <c r="J7" s="73"/>
      <c r="K7" s="72" t="s">
        <v>52</v>
      </c>
      <c r="L7" s="72" t="s">
        <v>52</v>
      </c>
      <c r="M7" s="72" t="s">
        <v>51</v>
      </c>
      <c r="N7" s="72"/>
      <c r="O7" s="72"/>
      <c r="P7" s="74" t="s">
        <v>190</v>
      </c>
      <c r="Q7" s="75"/>
      <c r="R7" s="76"/>
      <c r="S7" s="77"/>
      <c r="T7" s="78"/>
    </row>
    <row r="8" spans="1:20" x14ac:dyDescent="0.45">
      <c r="A8" s="65" t="s">
        <v>191</v>
      </c>
      <c r="B8" s="109" t="s">
        <v>82</v>
      </c>
      <c r="C8" s="100">
        <v>1</v>
      </c>
      <c r="D8" s="100">
        <v>20</v>
      </c>
      <c r="E8" s="100"/>
      <c r="F8" s="100"/>
      <c r="G8" s="100"/>
      <c r="H8" s="100"/>
      <c r="I8" s="100"/>
      <c r="J8" s="101"/>
      <c r="K8" s="100" t="s">
        <v>52</v>
      </c>
      <c r="L8" s="100" t="s">
        <v>52</v>
      </c>
      <c r="M8" s="100" t="s">
        <v>51</v>
      </c>
      <c r="N8" s="100"/>
      <c r="O8" s="100"/>
      <c r="P8" s="102" t="s">
        <v>192</v>
      </c>
      <c r="Q8" s="103"/>
      <c r="R8" s="104"/>
      <c r="S8" s="105"/>
      <c r="T8" s="106"/>
    </row>
    <row r="9" spans="1:20" x14ac:dyDescent="0.45">
      <c r="A9" s="65" t="s">
        <v>130</v>
      </c>
      <c r="B9" s="109" t="s">
        <v>54</v>
      </c>
      <c r="C9" s="100"/>
      <c r="D9" s="100"/>
      <c r="E9" s="100"/>
      <c r="F9" s="100"/>
      <c r="G9" s="100"/>
      <c r="H9" s="100"/>
      <c r="I9" s="100"/>
      <c r="J9" s="101"/>
      <c r="K9" s="100" t="s">
        <v>52</v>
      </c>
      <c r="L9" s="100" t="s">
        <v>52</v>
      </c>
      <c r="M9" s="100" t="s">
        <v>52</v>
      </c>
      <c r="N9" s="100"/>
      <c r="O9" s="100"/>
      <c r="P9" s="102" t="s">
        <v>193</v>
      </c>
      <c r="Q9" s="103"/>
      <c r="R9" s="104"/>
      <c r="S9" s="105"/>
      <c r="T9" s="106"/>
    </row>
    <row r="10" spans="1:20" x14ac:dyDescent="0.45">
      <c r="I10" s="99"/>
    </row>
    <row r="11" spans="1:20" x14ac:dyDescent="0.45">
      <c r="A11" s="161" t="s">
        <v>57</v>
      </c>
      <c r="B11" s="162"/>
      <c r="C11" s="163"/>
    </row>
    <row r="12" spans="1:20" x14ac:dyDescent="0.45">
      <c r="A12" s="17" t="s">
        <v>58</v>
      </c>
      <c r="B12" s="16" t="s">
        <v>3</v>
      </c>
      <c r="C12" s="18" t="s">
        <v>59</v>
      </c>
    </row>
    <row r="13" spans="1:20" ht="39" customHeight="1" x14ac:dyDescent="0.45">
      <c r="A13" s="14"/>
      <c r="B13" s="15"/>
      <c r="C13" s="38"/>
      <c r="F13" s="99"/>
    </row>
    <row r="15" spans="1:20" x14ac:dyDescent="0.45">
      <c r="A15" s="164" t="s">
        <v>60</v>
      </c>
      <c r="B15" s="149"/>
      <c r="C15" s="149" t="s">
        <v>3</v>
      </c>
      <c r="D15" s="149"/>
      <c r="E15" s="149"/>
      <c r="F15" s="149"/>
      <c r="G15" s="149" t="s">
        <v>61</v>
      </c>
      <c r="H15" s="149"/>
      <c r="I15" s="149"/>
      <c r="J15" s="149" t="s">
        <v>62</v>
      </c>
      <c r="K15" s="149"/>
      <c r="L15" s="149"/>
      <c r="M15" s="149"/>
      <c r="N15" s="149"/>
      <c r="O15" s="149" t="s">
        <v>63</v>
      </c>
      <c r="P15" s="149"/>
      <c r="Q15" s="149" t="s">
        <v>64</v>
      </c>
      <c r="R15" s="150"/>
    </row>
    <row r="16" spans="1:20" x14ac:dyDescent="0.45">
      <c r="A16" s="165"/>
      <c r="B16" s="151"/>
      <c r="C16" s="151"/>
      <c r="D16" s="151"/>
      <c r="E16" s="151"/>
      <c r="F16" s="151"/>
      <c r="G16" s="19" t="s">
        <v>65</v>
      </c>
      <c r="H16" s="19" t="s">
        <v>66</v>
      </c>
      <c r="I16" s="19" t="s">
        <v>3</v>
      </c>
      <c r="J16" s="19" t="s">
        <v>33</v>
      </c>
      <c r="K16" s="151" t="s">
        <v>3</v>
      </c>
      <c r="L16" s="151"/>
      <c r="M16" s="151"/>
      <c r="N16" s="151"/>
      <c r="O16" s="19" t="s">
        <v>67</v>
      </c>
      <c r="P16" s="19" t="s">
        <v>3</v>
      </c>
      <c r="Q16" s="19" t="s">
        <v>68</v>
      </c>
      <c r="R16" s="25" t="s">
        <v>69</v>
      </c>
    </row>
    <row r="17" spans="1:18" ht="47.25" customHeight="1" x14ac:dyDescent="0.45">
      <c r="A17" s="146"/>
      <c r="B17" s="147"/>
      <c r="C17" s="148"/>
      <c r="D17" s="148"/>
      <c r="E17" s="148"/>
      <c r="F17" s="148"/>
      <c r="G17" s="46"/>
      <c r="H17" s="44"/>
      <c r="I17" s="45"/>
      <c r="J17" s="39"/>
      <c r="K17" s="179"/>
      <c r="L17" s="180"/>
      <c r="M17" s="180"/>
      <c r="N17" s="181"/>
      <c r="O17" s="23"/>
      <c r="P17" s="24"/>
      <c r="Q17" s="24"/>
      <c r="R17" s="27"/>
    </row>
    <row r="18" spans="1:18" ht="27.75" customHeight="1" x14ac:dyDescent="0.45">
      <c r="A18" s="146"/>
      <c r="B18" s="147"/>
      <c r="C18" s="148"/>
      <c r="D18" s="148"/>
      <c r="E18" s="148"/>
      <c r="F18" s="148"/>
      <c r="G18" s="46"/>
      <c r="H18" s="44"/>
      <c r="I18" s="45"/>
      <c r="J18" s="39"/>
      <c r="K18" s="179"/>
      <c r="L18" s="180"/>
      <c r="M18" s="180"/>
      <c r="N18" s="181"/>
      <c r="O18" s="23"/>
      <c r="P18" s="24"/>
      <c r="Q18" s="24"/>
      <c r="R18" s="27"/>
    </row>
    <row r="19" spans="1:18" ht="27.75" customHeight="1" x14ac:dyDescent="0.45">
      <c r="A19" s="146"/>
      <c r="B19" s="147"/>
      <c r="C19" s="148"/>
      <c r="D19" s="148"/>
      <c r="E19" s="148"/>
      <c r="F19" s="148"/>
      <c r="G19" s="46"/>
      <c r="H19" s="44"/>
      <c r="I19" s="45"/>
      <c r="J19" s="39"/>
      <c r="K19" s="179"/>
      <c r="L19" s="180"/>
      <c r="M19" s="180"/>
      <c r="N19" s="181"/>
      <c r="O19" s="23"/>
      <c r="P19" s="24"/>
      <c r="Q19" s="24"/>
      <c r="R19" s="27"/>
    </row>
    <row r="20" spans="1:18" ht="34.5" customHeight="1" x14ac:dyDescent="0.45">
      <c r="A20" s="146"/>
      <c r="B20" s="147"/>
      <c r="C20" s="148"/>
      <c r="D20" s="148"/>
      <c r="E20" s="148"/>
      <c r="F20" s="148"/>
      <c r="G20" s="46"/>
      <c r="H20" s="44"/>
      <c r="I20" s="45"/>
      <c r="J20" s="39"/>
      <c r="K20" s="179"/>
      <c r="L20" s="180"/>
      <c r="M20" s="180"/>
      <c r="N20" s="181"/>
      <c r="O20" s="23"/>
      <c r="P20" s="24"/>
      <c r="Q20" s="24"/>
      <c r="R20" s="27"/>
    </row>
  </sheetData>
  <mergeCells count="23">
    <mergeCell ref="A18:B18"/>
    <mergeCell ref="C18:F18"/>
    <mergeCell ref="K18:N18"/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Q15:R15"/>
    <mergeCell ref="K16:N16"/>
    <mergeCell ref="A17:B17"/>
    <mergeCell ref="C17:F17"/>
    <mergeCell ref="K17:N17"/>
    <mergeCell ref="A19:B19"/>
    <mergeCell ref="C19:F19"/>
    <mergeCell ref="K19:N19"/>
    <mergeCell ref="A20:B20"/>
    <mergeCell ref="C20:F20"/>
    <mergeCell ref="K20:N20"/>
  </mergeCells>
  <hyperlinks>
    <hyperlink ref="A1" location="'Objetos de Dominio'!A1" display="Volver al inicio" xr:uid="{E415064B-C29D-4240-B47B-85C5CF2CF9FC}"/>
    <hyperlink ref="Q4" location="'Objeto Dominio N'!A16" display="'Objeto Dominio N'!A16" xr:uid="{095CAB54-FE54-4FEC-A215-7FEAAD8983CE}"/>
    <hyperlink ref="A1:P1" location="'Listado Objetos de Dominio'!A1" display="&lt;-Volver al inicio" xr:uid="{750EF9FE-1974-40C2-9FC9-48D59C2675E5}"/>
    <hyperlink ref="R4" location="'Objeto Dominio 1'!A17" display="'Objeto Dominio 1'!A17" xr:uid="{4C728BC8-B0D2-45BA-8C76-81809A8A420B}"/>
    <hyperlink ref="S4" location="'Objeto Dominio 1'!A18" display="'Objeto Dominio 1'!A18" xr:uid="{DA7E2FA5-6E71-4D39-BFF1-AEE1AC21AD79}"/>
    <hyperlink ref="T4" location="'Objeto Dominio 1'!A19" display="'Objeto Dominio 1'!A19" xr:uid="{01F41700-5F02-488A-A0F4-C6CB1ED57483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78CF-9B2C-4C2B-983A-C15FFE13E24E}">
  <dimension ref="A1:T20"/>
  <sheetViews>
    <sheetView topLeftCell="A6" zoomScale="70" zoomScaleNormal="70" workbookViewId="0">
      <selection activeCell="A18" sqref="A18:F20"/>
    </sheetView>
  </sheetViews>
  <sheetFormatPr baseColWidth="10" defaultColWidth="11.3984375" defaultRowHeight="14.25" x14ac:dyDescent="0.45"/>
  <cols>
    <col min="1" max="1" width="23.86328125" style="1" bestFit="1" customWidth="1"/>
    <col min="2" max="2" width="18.59765625" style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20" x14ac:dyDescent="0.45">
      <c r="A2" s="4" t="s">
        <v>30</v>
      </c>
      <c r="B2" s="159" t="str">
        <f>'Listado Objetos de Dominio'!$A$11</f>
        <v>Cotización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0" x14ac:dyDescent="0.45">
      <c r="A3" s="4" t="s">
        <v>31</v>
      </c>
      <c r="B3" s="160" t="str">
        <f>'Listado Objetos de Dominio'!$B$11</f>
        <v>Se refiere a la respuesta que da el proveedor a la solicitud de cotización del cliente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0" x14ac:dyDescent="0.4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10" t="s">
        <v>3</v>
      </c>
      <c r="Q4" s="37" t="str">
        <f>A18</f>
        <v>Crear cotización</v>
      </c>
      <c r="R4" s="35" t="str">
        <f>A19</f>
        <v>Consultar</v>
      </c>
      <c r="S4" s="36" t="str">
        <f>A20</f>
        <v>Editar</v>
      </c>
      <c r="T4" s="2" t="e">
        <f>#REF!</f>
        <v>#REF!</v>
      </c>
    </row>
    <row r="5" spans="1:20" x14ac:dyDescent="0.45">
      <c r="A5" s="11" t="s">
        <v>185</v>
      </c>
      <c r="B5" s="5" t="s">
        <v>141</v>
      </c>
      <c r="C5" s="5">
        <v>1</v>
      </c>
      <c r="D5" s="5">
        <v>15</v>
      </c>
      <c r="E5" s="5"/>
      <c r="F5" s="5"/>
      <c r="G5" s="5"/>
      <c r="H5" s="5" t="s">
        <v>83</v>
      </c>
      <c r="I5" s="5"/>
      <c r="J5" s="13"/>
      <c r="K5" s="12" t="s">
        <v>51</v>
      </c>
      <c r="L5" s="5" t="s">
        <v>52</v>
      </c>
      <c r="M5" s="5" t="s">
        <v>51</v>
      </c>
      <c r="N5" s="5"/>
      <c r="O5" s="5" t="s">
        <v>51</v>
      </c>
      <c r="P5" s="7" t="s">
        <v>186</v>
      </c>
      <c r="Q5" s="34"/>
      <c r="R5" s="23"/>
      <c r="S5" s="28"/>
      <c r="T5" s="31"/>
    </row>
    <row r="6" spans="1:20" x14ac:dyDescent="0.45">
      <c r="A6" s="71" t="s">
        <v>194</v>
      </c>
      <c r="B6" s="72" t="s">
        <v>168</v>
      </c>
      <c r="C6" s="72"/>
      <c r="D6" s="72"/>
      <c r="E6" s="72"/>
      <c r="F6" s="72"/>
      <c r="G6" s="72"/>
      <c r="H6" s="72" t="s">
        <v>84</v>
      </c>
      <c r="I6" s="72"/>
      <c r="J6" s="73"/>
      <c r="K6" s="72" t="s">
        <v>52</v>
      </c>
      <c r="L6" s="72" t="s">
        <v>52</v>
      </c>
      <c r="M6" s="72" t="s">
        <v>51</v>
      </c>
      <c r="N6" s="72"/>
      <c r="O6" s="72"/>
      <c r="P6" s="74" t="s">
        <v>195</v>
      </c>
      <c r="Q6" s="75"/>
      <c r="R6" s="76"/>
      <c r="S6" s="77"/>
      <c r="T6" s="78"/>
    </row>
    <row r="7" spans="1:20" x14ac:dyDescent="0.45">
      <c r="A7" s="71" t="s">
        <v>196</v>
      </c>
      <c r="B7" s="109" t="s">
        <v>168</v>
      </c>
      <c r="C7" s="100"/>
      <c r="D7" s="100"/>
      <c r="E7" s="100"/>
      <c r="F7" s="100"/>
      <c r="G7" s="100"/>
      <c r="H7" s="100"/>
      <c r="I7" s="100"/>
      <c r="J7" s="101"/>
      <c r="K7" s="100" t="s">
        <v>52</v>
      </c>
      <c r="L7" s="100" t="s">
        <v>52</v>
      </c>
      <c r="M7" s="100" t="s">
        <v>51</v>
      </c>
      <c r="N7" s="100"/>
      <c r="O7" s="100"/>
      <c r="P7" s="102" t="s">
        <v>197</v>
      </c>
      <c r="Q7" s="103"/>
      <c r="R7" s="104"/>
      <c r="S7" s="105"/>
      <c r="T7" s="106"/>
    </row>
    <row r="8" spans="1:20" x14ac:dyDescent="0.45">
      <c r="A8" s="65" t="s">
        <v>130</v>
      </c>
      <c r="B8" s="109" t="s">
        <v>82</v>
      </c>
      <c r="C8" s="100"/>
      <c r="D8" s="100"/>
      <c r="E8" s="100"/>
      <c r="F8" s="100"/>
      <c r="G8" s="100"/>
      <c r="H8" s="100"/>
      <c r="I8" s="100"/>
      <c r="J8" s="101"/>
      <c r="K8" s="100" t="s">
        <v>52</v>
      </c>
      <c r="L8" s="100" t="s">
        <v>52</v>
      </c>
      <c r="M8" s="100" t="s">
        <v>52</v>
      </c>
      <c r="N8" s="100"/>
      <c r="O8" s="100"/>
      <c r="P8" s="102" t="s">
        <v>198</v>
      </c>
      <c r="Q8" s="103"/>
      <c r="R8" s="104"/>
      <c r="S8" s="105"/>
      <c r="T8" s="106"/>
    </row>
    <row r="9" spans="1:20" x14ac:dyDescent="0.45">
      <c r="A9" s="100" t="s">
        <v>199</v>
      </c>
      <c r="B9" s="109" t="s">
        <v>168</v>
      </c>
      <c r="C9" s="100"/>
      <c r="D9" s="100"/>
      <c r="E9" s="100"/>
      <c r="F9" s="100"/>
      <c r="G9" s="100"/>
      <c r="H9" s="100"/>
      <c r="I9" s="110"/>
      <c r="J9" s="101"/>
      <c r="K9" s="109"/>
      <c r="L9" s="100"/>
      <c r="M9" s="100"/>
      <c r="N9" s="100"/>
      <c r="O9" s="100"/>
      <c r="P9" s="102" t="s">
        <v>200</v>
      </c>
      <c r="Q9" s="103"/>
      <c r="R9" s="104"/>
      <c r="S9" s="105"/>
      <c r="T9" s="106"/>
    </row>
    <row r="10" spans="1:20" ht="26.25" x14ac:dyDescent="0.45">
      <c r="A10" s="65" t="s">
        <v>201</v>
      </c>
      <c r="B10" s="65" t="s">
        <v>201</v>
      </c>
      <c r="C10" s="65"/>
      <c r="D10" s="65"/>
      <c r="E10" s="65"/>
      <c r="F10" s="65"/>
      <c r="G10" s="65"/>
      <c r="H10" s="65"/>
      <c r="I10" s="107"/>
      <c r="J10" s="79" t="s">
        <v>202</v>
      </c>
      <c r="K10" s="108"/>
      <c r="L10" s="65"/>
      <c r="M10" s="65"/>
      <c r="N10" s="65"/>
      <c r="O10" s="65"/>
      <c r="P10" s="66"/>
      <c r="Q10" s="67"/>
      <c r="R10" s="68"/>
      <c r="S10" s="69"/>
      <c r="T10" s="70"/>
    </row>
    <row r="11" spans="1:20" x14ac:dyDescent="0.45">
      <c r="I11" s="99"/>
    </row>
    <row r="12" spans="1:20" x14ac:dyDescent="0.45">
      <c r="A12" s="161" t="s">
        <v>57</v>
      </c>
      <c r="B12" s="162"/>
      <c r="C12" s="163"/>
    </row>
    <row r="13" spans="1:20" x14ac:dyDescent="0.45">
      <c r="A13" s="17" t="s">
        <v>58</v>
      </c>
      <c r="B13" s="16" t="s">
        <v>3</v>
      </c>
      <c r="C13" s="18" t="s">
        <v>59</v>
      </c>
      <c r="E13" s="99"/>
    </row>
    <row r="14" spans="1:20" ht="39" customHeight="1" x14ac:dyDescent="0.45">
      <c r="A14" s="14"/>
      <c r="B14" s="15"/>
      <c r="C14" s="38"/>
      <c r="F14" s="99"/>
    </row>
    <row r="16" spans="1:20" x14ac:dyDescent="0.45">
      <c r="A16" s="164" t="s">
        <v>60</v>
      </c>
      <c r="B16" s="149"/>
      <c r="C16" s="149" t="s">
        <v>3</v>
      </c>
      <c r="D16" s="149"/>
      <c r="E16" s="149"/>
      <c r="F16" s="149"/>
      <c r="G16" s="149" t="s">
        <v>61</v>
      </c>
      <c r="H16" s="149"/>
      <c r="I16" s="149"/>
      <c r="J16" s="149" t="s">
        <v>62</v>
      </c>
      <c r="K16" s="149"/>
      <c r="L16" s="149"/>
      <c r="M16" s="149"/>
      <c r="N16" s="149"/>
      <c r="O16" s="149" t="s">
        <v>63</v>
      </c>
      <c r="P16" s="149"/>
      <c r="Q16" s="149" t="s">
        <v>64</v>
      </c>
      <c r="R16" s="150"/>
    </row>
    <row r="17" spans="1:18" x14ac:dyDescent="0.45">
      <c r="A17" s="165"/>
      <c r="B17" s="151"/>
      <c r="C17" s="151"/>
      <c r="D17" s="151"/>
      <c r="E17" s="151"/>
      <c r="F17" s="151"/>
      <c r="G17" s="19" t="s">
        <v>65</v>
      </c>
      <c r="H17" s="19" t="s">
        <v>66</v>
      </c>
      <c r="I17" s="19" t="s">
        <v>3</v>
      </c>
      <c r="J17" s="19" t="s">
        <v>33</v>
      </c>
      <c r="K17" s="151" t="s">
        <v>3</v>
      </c>
      <c r="L17" s="151"/>
      <c r="M17" s="151"/>
      <c r="N17" s="151"/>
      <c r="O17" s="19" t="s">
        <v>67</v>
      </c>
      <c r="P17" s="19" t="s">
        <v>3</v>
      </c>
      <c r="Q17" s="19" t="s">
        <v>68</v>
      </c>
      <c r="R17" s="25" t="s">
        <v>69</v>
      </c>
    </row>
    <row r="18" spans="1:18" ht="47.25" customHeight="1" x14ac:dyDescent="0.45">
      <c r="A18" s="146" t="s">
        <v>203</v>
      </c>
      <c r="B18" s="147"/>
      <c r="C18" s="148" t="s">
        <v>204</v>
      </c>
      <c r="D18" s="148"/>
      <c r="E18" s="148"/>
      <c r="F18" s="148"/>
      <c r="G18" s="46"/>
      <c r="H18" s="44"/>
      <c r="I18" s="45"/>
      <c r="J18" s="39"/>
      <c r="K18" s="179"/>
      <c r="L18" s="180"/>
      <c r="M18" s="180"/>
      <c r="N18" s="181"/>
      <c r="O18" s="23"/>
      <c r="P18" s="24"/>
      <c r="Q18" s="24"/>
      <c r="R18" s="27"/>
    </row>
    <row r="19" spans="1:18" ht="27.75" customHeight="1" x14ac:dyDescent="0.45">
      <c r="A19" s="146" t="s">
        <v>70</v>
      </c>
      <c r="B19" s="147"/>
      <c r="C19" s="148" t="s">
        <v>205</v>
      </c>
      <c r="D19" s="148"/>
      <c r="E19" s="148"/>
      <c r="F19" s="148"/>
      <c r="G19" s="46"/>
      <c r="H19" s="44"/>
      <c r="I19" s="45"/>
      <c r="J19" s="39"/>
      <c r="K19" s="179"/>
      <c r="L19" s="180"/>
      <c r="M19" s="180"/>
      <c r="N19" s="181"/>
      <c r="O19" s="23"/>
      <c r="P19" s="24"/>
      <c r="Q19" s="24"/>
      <c r="R19" s="27"/>
    </row>
    <row r="20" spans="1:18" ht="27.75" customHeight="1" x14ac:dyDescent="0.45">
      <c r="A20" s="146" t="s">
        <v>206</v>
      </c>
      <c r="B20" s="147"/>
      <c r="C20" s="148" t="s">
        <v>207</v>
      </c>
      <c r="D20" s="148"/>
      <c r="E20" s="148"/>
      <c r="F20" s="148"/>
      <c r="G20" s="46"/>
      <c r="H20" s="44"/>
      <c r="I20" s="45"/>
      <c r="J20" s="39"/>
      <c r="K20" s="179"/>
      <c r="L20" s="180"/>
      <c r="M20" s="180"/>
      <c r="N20" s="181"/>
      <c r="O20" s="23"/>
      <c r="P20" s="24"/>
      <c r="Q20" s="24"/>
      <c r="R20" s="27"/>
    </row>
  </sheetData>
  <mergeCells count="20">
    <mergeCell ref="A1:P1"/>
    <mergeCell ref="B2:P2"/>
    <mergeCell ref="B3:P3"/>
    <mergeCell ref="A12:C12"/>
    <mergeCell ref="A16:B17"/>
    <mergeCell ref="C16:F17"/>
    <mergeCell ref="G16:I16"/>
    <mergeCell ref="J16:N16"/>
    <mergeCell ref="O16:P16"/>
    <mergeCell ref="A20:B20"/>
    <mergeCell ref="C20:F20"/>
    <mergeCell ref="K20:N20"/>
    <mergeCell ref="Q16:R16"/>
    <mergeCell ref="K17:N17"/>
    <mergeCell ref="A18:B18"/>
    <mergeCell ref="C18:F18"/>
    <mergeCell ref="K18:N18"/>
    <mergeCell ref="A19:B19"/>
    <mergeCell ref="C19:F19"/>
    <mergeCell ref="K19:N19"/>
  </mergeCells>
  <hyperlinks>
    <hyperlink ref="A1" location="'Objetos de Dominio'!A1" display="Volver al inicio" xr:uid="{21230ABA-C35E-48FD-98B9-DE581158665B}"/>
    <hyperlink ref="A18:B18" location="'Objeto Dominio N'!R4" display="Reponsabilidad 2" xr:uid="{30AAD2F9-F00F-486D-85C7-A7082C57551E}"/>
    <hyperlink ref="Q4" location="'Objeto Dominio N'!A16" display="'Objeto Dominio N'!A16" xr:uid="{3C681037-8467-4CDB-8184-2278E2F5B6A0}"/>
    <hyperlink ref="A1:P1" location="'Listado Objetos de Dominio'!A1" display="&lt;-Volver al inicio" xr:uid="{3FC3379F-3DA2-431D-8F82-DB69A31A0656}"/>
    <hyperlink ref="R4" location="'Objeto Dominio 1'!A17" display="'Objeto Dominio 1'!A17" xr:uid="{09FE1CA1-FE29-44E7-9F43-D34726D713F1}"/>
    <hyperlink ref="S4" location="'Objeto Dominio 1'!A18" display="'Objeto Dominio 1'!A18" xr:uid="{ACB1A4F6-1C66-4AD0-8F93-36A39D958D29}"/>
    <hyperlink ref="T4" location="'Objeto Dominio 1'!A19" display="'Objeto Dominio 1'!A19" xr:uid="{74E7468E-823E-40C3-A77F-C8E4A439DB39}"/>
    <hyperlink ref="A19:B19" location="'Objeto Dominio N'!R4" display="Reponsabilidad 2" xr:uid="{922763E1-FAA2-418C-ABC2-15DE24B1781C}"/>
    <hyperlink ref="A20:B20" location="'Objeto Dominio N'!R4" display="Reponsabilidad 2" xr:uid="{79D068ED-4BE1-47FC-BA25-98FC1AD07D1E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45CC36234B18439988D70FCB761011" ma:contentTypeVersion="11" ma:contentTypeDescription="Create a new document." ma:contentTypeScope="" ma:versionID="c6448214b19ff8011f7bdf720b74194c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bdbb6f2d35a97311df3a53a5d8cb51fa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38022-656B-4A1B-A485-51A1972238BD}">
  <ds:schemaRefs>
    <ds:schemaRef ds:uri="http://schemas.microsoft.com/office/2006/metadata/properties"/>
    <ds:schemaRef ds:uri="http://schemas.microsoft.com/office/infopath/2007/PartnerControls"/>
    <ds:schemaRef ds:uri="36cf0646-7300-4608-bcc3-e29ed014863a"/>
    <ds:schemaRef ds:uri="734bc881-a844-4d86-9741-49f87248cc41"/>
  </ds:schemaRefs>
</ds:datastoreItem>
</file>

<file path=customXml/itemProps2.xml><?xml version="1.0" encoding="utf-8"?>
<ds:datastoreItem xmlns:ds="http://schemas.openxmlformats.org/officeDocument/2006/customXml" ds:itemID="{3E7D59C7-E0AE-4747-989E-A0A099AE6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0646-7300-4608-bcc3-e29ed014863a"/>
    <ds:schemaRef ds:uri="734bc881-a844-4d86-9741-49f87248cc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24C681-8A04-4D66-BB1C-57F7466573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Modelo dominio anémico contexto</vt:lpstr>
      <vt:lpstr>Listado Objetos de Dominio</vt:lpstr>
      <vt:lpstr>Valores</vt:lpstr>
      <vt:lpstr>Departamento</vt:lpstr>
      <vt:lpstr>Ciudad</vt:lpstr>
      <vt:lpstr>Cliente</vt:lpstr>
      <vt:lpstr>Negocio</vt:lpstr>
      <vt:lpstr>Sede</vt:lpstr>
      <vt:lpstr>Colaborador</vt:lpstr>
      <vt:lpstr>Solicitud Cotizacion</vt:lpstr>
      <vt:lpstr>Producto</vt:lpstr>
      <vt:lpstr>Cotizacion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Kevin Stiven Montoya Prada</cp:lastModifiedBy>
  <cp:revision/>
  <dcterms:created xsi:type="dcterms:W3CDTF">2023-03-15T04:00:09Z</dcterms:created>
  <dcterms:modified xsi:type="dcterms:W3CDTF">2025-12-11T16:35:03Z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0x0101001945CC36234B18439988D70FCB761011</vt:lpwstr>
  </property>
  <property fmtid="{D5CDD505-2E9C-101B-9397-08002B2CF9AE}" pid="12" name="MediaServiceImageTags">
    <vt:lpwstr/>
  </property>
</Properties>
</file>