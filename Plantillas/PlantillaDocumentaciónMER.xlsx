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wnloads\OneDrive_2024-01-30\Sesión 1\"/>
    </mc:Choice>
  </mc:AlternateContent>
  <xr:revisionPtr revIDLastSave="592" documentId="13_ncr:1_{DA4F7EDE-002B-447A-9232-E45CAE8BFCA8}" xr6:coauthVersionLast="47" xr6:coauthVersionMax="47" xr10:uidLastSave="{9CCADC5D-12D2-44CD-BB6D-CCE6170E7DC8}"/>
  <bookViews>
    <workbookView xWindow="-120" yWindow="-120" windowWidth="20640" windowHeight="11160" firstSheet="5" activeTab="5" xr2:uid="{59653BFD-5B7C-4315-9D96-3FD5833491E5}"/>
  </bookViews>
  <sheets>
    <sheet name="MER" sheetId="1" r:id="rId1"/>
    <sheet name="Entidades" sheetId="2" r:id="rId2"/>
    <sheet name="Departamento" sheetId="3" r:id="rId3"/>
    <sheet name="Valores" sheetId="4" state="hidden" r:id="rId4"/>
    <sheet name="Ciudad" sheetId="7" r:id="rId5"/>
    <sheet name="Cliente" sheetId="8" r:id="rId6"/>
    <sheet name="Colaborador" sheetId="5" r:id="rId7"/>
    <sheet name="Negocio" sheetId="10" r:id="rId8"/>
    <sheet name="Sede" sheetId="9" r:id="rId9"/>
    <sheet name="Solicitud de Cotizacion" sheetId="6" r:id="rId10"/>
    <sheet name="Producto" sheetId="12" r:id="rId11"/>
    <sheet name="Cotizacion" sheetId="11" r:id="rId12"/>
  </sheets>
  <definedNames>
    <definedName name="_xlnm._FilterDatabase" localSheetId="4" hidden="1">Ciudad!$A$5:$A$6</definedName>
    <definedName name="_xlnm._FilterDatabase" localSheetId="5" hidden="1">Cliente!$A$5:$A$6</definedName>
    <definedName name="_xlnm._FilterDatabase" localSheetId="6" hidden="1">Colaborador!$A$5:$A$6</definedName>
    <definedName name="_xlnm._FilterDatabase" localSheetId="11" hidden="1">Cotizacion!$A$5:$A$6</definedName>
    <definedName name="_xlnm._FilterDatabase" localSheetId="10" hidden="1">Producto!$A$5:$A$6</definedName>
    <definedName name="_xlnm._FilterDatabase" localSheetId="2" hidden="1">Departamento!$A$5:$A$6</definedName>
    <definedName name="_xlnm._FilterDatabase" localSheetId="7" hidden="1">Negocio!$A$5:$A$6</definedName>
    <definedName name="_xlnm._FilterDatabase" localSheetId="8" hidden="1">Sede!$A$5:$A$6</definedName>
    <definedName name="_xlnm._FilterDatabase" localSheetId="9" hidden="1">'Solicitud de Cotizacion'!$A$5:$A$6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1" l="1"/>
  <c r="B2" i="11"/>
  <c r="B3" i="12"/>
  <c r="B2" i="12"/>
  <c r="B3" i="6"/>
  <c r="B2" i="6"/>
  <c r="B3" i="9"/>
  <c r="B2" i="9"/>
  <c r="B3" i="10"/>
  <c r="B2" i="10"/>
  <c r="B3" i="5"/>
  <c r="B2" i="5"/>
  <c r="B3" i="8"/>
  <c r="B2" i="8"/>
  <c r="B3" i="7"/>
  <c r="B2" i="7"/>
  <c r="A3" i="12"/>
  <c r="A2" i="12"/>
  <c r="A3" i="11"/>
  <c r="A2" i="11"/>
  <c r="A3" i="10"/>
  <c r="A2" i="10"/>
  <c r="A3" i="9"/>
  <c r="A2" i="9"/>
  <c r="A3" i="8"/>
  <c r="A2" i="8"/>
  <c r="A3" i="7"/>
  <c r="A2" i="7"/>
  <c r="A3" i="6"/>
  <c r="A2" i="6"/>
  <c r="A3" i="5"/>
  <c r="A2" i="5"/>
  <c r="A3" i="3"/>
  <c r="A2" i="3"/>
  <c r="B3" i="3"/>
  <c r="B2" i="3"/>
</calcChain>
</file>

<file path=xl/sharedStrings.xml><?xml version="1.0" encoding="utf-8"?>
<sst xmlns="http://schemas.openxmlformats.org/spreadsheetml/2006/main" count="883" uniqueCount="166">
  <si>
    <t>Entidad</t>
  </si>
  <si>
    <t>Desripción</t>
  </si>
  <si>
    <t>Departamento</t>
  </si>
  <si>
    <t>Entidad que contiene la información que indica el departamento al que pertenece la ciudad donde reside el cliente</t>
  </si>
  <si>
    <t>Ciudad</t>
  </si>
  <si>
    <t>Entidad que contiene la información de la ciudad donde reside el cliente y/o donde está ubicado su negocio</t>
  </si>
  <si>
    <t>Cliente</t>
  </si>
  <si>
    <t>Entidad que contiene la información del usuario que realiza las solicitudes de cotización en la aplicación</t>
  </si>
  <si>
    <t>Colaborador</t>
  </si>
  <si>
    <t>Entidad que contiene la información de un usuario externo encargado de ayudar al cliente con las solicitudes de cotización</t>
  </si>
  <si>
    <t>Negocio</t>
  </si>
  <si>
    <t>Entidad que contiene la información del negocio que ha registrado el cliente en la aplicación</t>
  </si>
  <si>
    <t>Sede</t>
  </si>
  <si>
    <t>Entidad que contiene la información de la o las sedes/sucursales que posee el negocio del cliente</t>
  </si>
  <si>
    <t>Solicitud de Cotizacion</t>
  </si>
  <si>
    <t>Entidad que contiene la información del documento que diligencia el cliente solicitando la cotización de ciertos productos a los proveedores</t>
  </si>
  <si>
    <t>Producto</t>
  </si>
  <si>
    <t>Entidad que contiene la información del producto que se crea en la solicitud de cotización</t>
  </si>
  <si>
    <t>Cotizacion</t>
  </si>
  <si>
    <t>Entidad que contiene la información de la respuesta que da el proveedor a la solicitud de cotización del cliente</t>
  </si>
  <si>
    <t>&lt;-Volver al inicio</t>
  </si>
  <si>
    <t>Atributos</t>
  </si>
  <si>
    <t>Nombre</t>
  </si>
  <si>
    <t>Tipo de dato</t>
  </si>
  <si>
    <t>Longitud</t>
  </si>
  <si>
    <t>Cantidad dígitos parte entera</t>
  </si>
  <si>
    <t>Cantidad dígitos parte decimal (Precisión)</t>
  </si>
  <si>
    <t>¿Es autoincremento?</t>
  </si>
  <si>
    <t>¿Es obligatorio?</t>
  </si>
  <si>
    <t>¿Es llave primeria o es parte de ella?</t>
  </si>
  <si>
    <t>Llave Foránea</t>
  </si>
  <si>
    <t>Restricciones de unicidad</t>
  </si>
  <si>
    <t>Restricciones de chequeo</t>
  </si>
  <si>
    <t>Restricciones de índice</t>
  </si>
  <si>
    <t>Alias</t>
  </si>
  <si>
    <t>Descripción del campo</t>
  </si>
  <si>
    <t>¿Es llave foránea?</t>
  </si>
  <si>
    <t>Columna(s)</t>
  </si>
  <si>
    <t>¿Posee restricción de unicidad o es parte de ella?</t>
  </si>
  <si>
    <t>Nombre restricción unicidad a la que pertenece</t>
  </si>
  <si>
    <t>¿Posee restricción de chequeo o es parte de ella?</t>
  </si>
  <si>
    <t>Nombre restricción chequeo a la que pertenece</t>
  </si>
  <si>
    <t>¿Posee restricción de índice o es parte de ella?</t>
  </si>
  <si>
    <t>Tipo</t>
  </si>
  <si>
    <t>Nombre restricción índice a la que pertenece</t>
  </si>
  <si>
    <t xml:space="preserve">codigo_dpto </t>
  </si>
  <si>
    <t>INT</t>
  </si>
  <si>
    <t>N/A</t>
  </si>
  <si>
    <t>NO</t>
  </si>
  <si>
    <t>SI</t>
  </si>
  <si>
    <t>PK_Departamento</t>
  </si>
  <si>
    <t>ASC</t>
  </si>
  <si>
    <t>Código único que identifica cada departamento en el sistema.</t>
  </si>
  <si>
    <t>nombre</t>
  </si>
  <si>
    <t>VARCHAR</t>
  </si>
  <si>
    <t>UQ_NombreDepartamento</t>
  </si>
  <si>
    <t>Nombre del departamento, el cual debe ser único en el sistema.</t>
  </si>
  <si>
    <t>Relación</t>
  </si>
  <si>
    <t>Tipo relación</t>
  </si>
  <si>
    <t>Estado</t>
  </si>
  <si>
    <t>TipoIndice</t>
  </si>
  <si>
    <t>Necesita de</t>
  </si>
  <si>
    <t>Asociación</t>
  </si>
  <si>
    <t>Es usada por</t>
  </si>
  <si>
    <t>DESC</t>
  </si>
  <si>
    <t>codigo_ciudad</t>
  </si>
  <si>
    <t>UQ_CodigoCiudad</t>
  </si>
  <si>
    <t>IDX_CodigoCiudad_ASC</t>
  </si>
  <si>
    <t>Código único que identifica cada ciudad en el sistema.</t>
  </si>
  <si>
    <t>codigo_dpto</t>
  </si>
  <si>
    <t>IDX_CodigoDptoCiudad_ASC</t>
  </si>
  <si>
    <t>Código del departamento al que pertenece la ciudad.</t>
  </si>
  <si>
    <t>UQ_NombreCiudad</t>
  </si>
  <si>
    <t>IDX_NombreCiudad_ASC</t>
  </si>
  <si>
    <t>Nombre de la ciudad.</t>
  </si>
  <si>
    <t>id</t>
  </si>
  <si>
    <t>UQ_IdentificacionCliente</t>
  </si>
  <si>
    <t>IDX_IdentificacionCliente_ASC</t>
  </si>
  <si>
    <t>Identificación única del cliente.</t>
  </si>
  <si>
    <t>IDX_NombreCliente_ASC</t>
  </si>
  <si>
    <t>Nombre del cliente.</t>
  </si>
  <si>
    <t>apellido</t>
  </si>
  <si>
    <t>IDX_ApellidoCliente_ASC</t>
  </si>
  <si>
    <t>Apellido del cliente.</t>
  </si>
  <si>
    <t>correo</t>
  </si>
  <si>
    <t>UQ_CorreoCliente</t>
  </si>
  <si>
    <t>IDX_CorreoCliente_ASC</t>
  </si>
  <si>
    <t>Correo electrónico del cliente.</t>
  </si>
  <si>
    <t>contraseña</t>
  </si>
  <si>
    <t>IDX_ContraseñaCliente_ASC</t>
  </si>
  <si>
    <t>Contraseña del cliente para el inicio de sesión.</t>
  </si>
  <si>
    <t>CIUDAD</t>
  </si>
  <si>
    <t>IDX_CodigoCiudadCliente_ASC</t>
  </si>
  <si>
    <t>Código de la ciudad donde reside el cliente.</t>
  </si>
  <si>
    <t>identificacion</t>
  </si>
  <si>
    <t>UQ_identificacion_colaborador</t>
  </si>
  <si>
    <t>IDX_identificacion_colaborador</t>
  </si>
  <si>
    <t>Identificación única del colaborador.</t>
  </si>
  <si>
    <t>cliente</t>
  </si>
  <si>
    <t>CLIENTE</t>
  </si>
  <si>
    <t>IDX_identificacion_cliente_colaborador</t>
  </si>
  <si>
    <t>Identificación del cliente asociado al colaborador.</t>
  </si>
  <si>
    <t>UQ_correo_colaborador</t>
  </si>
  <si>
    <t>IDX_correo_colaborador</t>
  </si>
  <si>
    <t>Correo electrónico del colaborador.</t>
  </si>
  <si>
    <t>estado_invitacion</t>
  </si>
  <si>
    <t>BOOLEAN</t>
  </si>
  <si>
    <t>Indica si el colaborador ha aceptado la invitación para formar parte del sistema.</t>
  </si>
  <si>
    <t>nit</t>
  </si>
  <si>
    <t>IDX_negocio_nit</t>
  </si>
  <si>
    <t>Número de identificación tributaria del negocio.</t>
  </si>
  <si>
    <t>UQ_negocio_nombre</t>
  </si>
  <si>
    <t>Nombre del negocio.</t>
  </si>
  <si>
    <t>descripcion</t>
  </si>
  <si>
    <t>Descripción del negocio.</t>
  </si>
  <si>
    <t>direccion</t>
  </si>
  <si>
    <t>Dirección física del negocio.</t>
  </si>
  <si>
    <t>identificación</t>
  </si>
  <si>
    <t>Referencia al cliente asociado al negocio.</t>
  </si>
  <si>
    <t>codigo</t>
  </si>
  <si>
    <t>IDX_sede_id</t>
  </si>
  <si>
    <t>Identificador único de la sede.</t>
  </si>
  <si>
    <t>UQ_sede_nombre</t>
  </si>
  <si>
    <t>Nombre de la sede.</t>
  </si>
  <si>
    <t>Dirección física de la sede.</t>
  </si>
  <si>
    <t>negocio</t>
  </si>
  <si>
    <t>Referencia al negocio al que pertenece la sede.</t>
  </si>
  <si>
    <t>ciudad</t>
  </si>
  <si>
    <t>id_ciudad</t>
  </si>
  <si>
    <t>Referencia a la ciudad donde se encuentra la sede.</t>
  </si>
  <si>
    <t>IDX_solicitud_codigo</t>
  </si>
  <si>
    <t>Identificador único de la solicitud de cotización.</t>
  </si>
  <si>
    <t>fecha_creacion</t>
  </si>
  <si>
    <t>DATE</t>
  </si>
  <si>
    <t>Fecha en la que se creó la solicitud de cotización.</t>
  </si>
  <si>
    <t>fecha_limite_respuesta</t>
  </si>
  <si>
    <t>Fecha límite para que la solicitud sea respondida.</t>
  </si>
  <si>
    <t>estado_solicitud</t>
  </si>
  <si>
    <t>CHK_estado_solicitud</t>
  </si>
  <si>
    <t>Estado de la solicitud (ej. Pendiente, Aprobada, Rechazada).</t>
  </si>
  <si>
    <t>Referencia al cliente que realizó la solicitud.</t>
  </si>
  <si>
    <t>sede</t>
  </si>
  <si>
    <t>Referencia a la sede donde se realizó la solicitud.</t>
  </si>
  <si>
    <t>IDX_producto_codigo</t>
  </si>
  <si>
    <t>Identificador único del producto.</t>
  </si>
  <si>
    <t>UQ_producto_nombre</t>
  </si>
  <si>
    <t>IDX_producto_nombre</t>
  </si>
  <si>
    <t>Nombre del producto.</t>
  </si>
  <si>
    <t>cantidad</t>
  </si>
  <si>
    <t>CHK_producto_cantidad</t>
  </si>
  <si>
    <t>Cantidad de unidades del producto en la solicitud.</t>
  </si>
  <si>
    <t>unidad_medida</t>
  </si>
  <si>
    <t>Unidad de medida para el producto (ej. kg, litros, etc.).</t>
  </si>
  <si>
    <t>Descripción detallada del producto.</t>
  </si>
  <si>
    <t>IDX_cotizacion_codigo</t>
  </si>
  <si>
    <t>Identificador único de la cotización.</t>
  </si>
  <si>
    <t>fecha_emision</t>
  </si>
  <si>
    <t>Fecha en la que se generó la cotización.</t>
  </si>
  <si>
    <t>fecha_expiracion</t>
  </si>
  <si>
    <t>Fecha límite para que la cotización sea válida.</t>
  </si>
  <si>
    <t>Descripción adicional sobre la cotización.</t>
  </si>
  <si>
    <t>tiempo_entrega</t>
  </si>
  <si>
    <t>Tiempo estimado de entrega de los productos o servicios cotizados.</t>
  </si>
  <si>
    <t>solicitud</t>
  </si>
  <si>
    <t>Solicitud_Cotizacion</t>
  </si>
  <si>
    <t>Referencia a la solicitud de cotización asociada.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</si>
</sst>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2" fillId="0" borderId="5" xfId="1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3" xfId="0" applyBorder="1"/>
    <xf numFmtId="0" fontId="1" fillId="2" borderId="14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7" xfId="0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9" xfId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133350</xdr:rowOff>
    </xdr:from>
    <xdr:to>
      <xdr:col>6</xdr:col>
      <xdr:colOff>228600</xdr:colOff>
      <xdr:row>29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EFC9FE-C61B-0F3D-B0AD-BC31CDAF2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33350"/>
          <a:ext cx="5057775" cy="5467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DD5C-C31B-494F-AC8C-D9C6DB3214A6}">
  <dimension ref="A1"/>
  <sheetViews>
    <sheetView topLeftCell="A6" workbookViewId="0">
      <selection activeCell="H9" sqref="H9"/>
    </sheetView>
  </sheetViews>
  <sheetFormatPr defaultColWidth="11.42578125" defaultRowHeight="15"/>
  <cols>
    <col min="1" max="1" width="24.28515625" style="5" bestFit="1" customWidth="1"/>
    <col min="2" max="16384" width="11.42578125" style="5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5403-6348-4EA1-A621-73D3E528C0B5}">
  <dimension ref="A1:B10"/>
  <sheetViews>
    <sheetView workbookViewId="0">
      <selection activeCell="A4" sqref="A4"/>
    </sheetView>
  </sheetViews>
  <sheetFormatPr defaultColWidth="11.42578125" defaultRowHeight="15"/>
  <cols>
    <col min="1" max="1" width="21" bestFit="1" customWidth="1"/>
    <col min="2" max="2" width="126.42578125" bestFit="1" customWidth="1"/>
  </cols>
  <sheetData>
    <row r="1" spans="1:2">
      <c r="A1" s="11" t="s">
        <v>0</v>
      </c>
      <c r="B1" s="12" t="s">
        <v>1</v>
      </c>
    </row>
    <row r="2" spans="1:2">
      <c r="A2" s="6" t="s">
        <v>2</v>
      </c>
      <c r="B2" s="7" t="s">
        <v>3</v>
      </c>
    </row>
    <row r="3" spans="1:2">
      <c r="A3" s="8" t="s">
        <v>4</v>
      </c>
      <c r="B3" s="7" t="s">
        <v>5</v>
      </c>
    </row>
    <row r="4" spans="1:2">
      <c r="A4" s="8" t="s">
        <v>6</v>
      </c>
      <c r="B4" s="7" t="s">
        <v>7</v>
      </c>
    </row>
    <row r="5" spans="1:2">
      <c r="A5" s="8" t="s">
        <v>8</v>
      </c>
      <c r="B5" s="7" t="s">
        <v>9</v>
      </c>
    </row>
    <row r="6" spans="1:2">
      <c r="A6" s="8" t="s">
        <v>10</v>
      </c>
      <c r="B6" s="7" t="s">
        <v>11</v>
      </c>
    </row>
    <row r="7" spans="1:2">
      <c r="A7" s="8" t="s">
        <v>12</v>
      </c>
      <c r="B7" s="7" t="s">
        <v>13</v>
      </c>
    </row>
    <row r="8" spans="1:2">
      <c r="A8" s="13" t="s">
        <v>14</v>
      </c>
      <c r="B8" s="7" t="s">
        <v>15</v>
      </c>
    </row>
    <row r="9" spans="1:2">
      <c r="A9" s="13" t="s">
        <v>16</v>
      </c>
      <c r="B9" s="7" t="s">
        <v>17</v>
      </c>
    </row>
    <row r="10" spans="1:2" ht="15.75" thickBot="1">
      <c r="A10" s="9" t="s">
        <v>18</v>
      </c>
      <c r="B10" s="10" t="s">
        <v>19</v>
      </c>
    </row>
  </sheetData>
  <hyperlinks>
    <hyperlink ref="A2" location="EntidaUno!A1" display="EntidadUno" xr:uid="{9A8D5B9E-EA38-4D69-BA3E-18259FB2B9A1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7783-E295-4FC8-9545-497BD6184227}">
  <dimension ref="A1:T8"/>
  <sheetViews>
    <sheetView topLeftCell="O1" zoomScaleNormal="100" workbookViewId="0">
      <pane ySplit="1" topLeftCell="B3" activePane="bottomLeft" state="frozen"/>
      <selection pane="bottomLeft" activeCell="B3" sqref="B3:E3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41.85546875" style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13.85546875" style="1" bestFit="1" customWidth="1"/>
    <col min="20" max="20" width="56.28515625" style="1" bestFit="1" customWidth="1"/>
    <col min="21" max="16384" width="19.7109375" style="1"/>
  </cols>
  <sheetData>
    <row r="1" spans="1:20" ht="15.75" thickBot="1">
      <c r="A1" s="18" t="s">
        <v>20</v>
      </c>
      <c r="B1" s="18"/>
      <c r="C1" s="18"/>
      <c r="D1" s="18"/>
      <c r="E1" s="18"/>
    </row>
    <row r="2" spans="1:20" ht="13.5" customHeight="1">
      <c r="A2" s="2" t="str">
        <f>Entidades!$A$1</f>
        <v>Entidad</v>
      </c>
      <c r="B2" s="23" t="str">
        <f>Entidades!A2</f>
        <v>Departamento</v>
      </c>
      <c r="C2" s="23"/>
      <c r="D2" s="23"/>
      <c r="E2" s="24"/>
    </row>
    <row r="3" spans="1:20" ht="15.75" thickBot="1">
      <c r="A3" s="3" t="str">
        <f>Entidades!$B$1</f>
        <v>Desripción</v>
      </c>
      <c r="B3" s="25" t="str">
        <f>Entidades!B2</f>
        <v>Entidad que contiene la información que indica el departamento al que pertenece la ciudad donde reside el cliente</v>
      </c>
      <c r="C3" s="25"/>
      <c r="D3" s="25"/>
      <c r="E3" s="26"/>
    </row>
    <row r="4" spans="1:20">
      <c r="A4" s="19" t="s">
        <v>21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</row>
    <row r="5" spans="1:20" s="4" customFormat="1">
      <c r="A5" s="17" t="s">
        <v>22</v>
      </c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17" t="s">
        <v>28</v>
      </c>
      <c r="H5" s="22" t="s">
        <v>29</v>
      </c>
      <c r="I5" s="17" t="s">
        <v>30</v>
      </c>
      <c r="J5" s="17"/>
      <c r="K5" s="17"/>
      <c r="L5" s="17" t="s">
        <v>31</v>
      </c>
      <c r="M5" s="17"/>
      <c r="N5" s="17" t="s">
        <v>32</v>
      </c>
      <c r="O5" s="17"/>
      <c r="P5" s="17" t="s">
        <v>33</v>
      </c>
      <c r="Q5" s="17"/>
      <c r="R5" s="17"/>
      <c r="S5" s="17" t="s">
        <v>34</v>
      </c>
      <c r="T5" s="17" t="s">
        <v>35</v>
      </c>
    </row>
    <row r="6" spans="1:20" s="4" customFormat="1">
      <c r="A6" s="17"/>
      <c r="B6" s="17"/>
      <c r="C6" s="17"/>
      <c r="D6" s="17"/>
      <c r="E6" s="17"/>
      <c r="F6" s="17"/>
      <c r="G6" s="17"/>
      <c r="H6" s="22"/>
      <c r="I6" s="14" t="s">
        <v>36</v>
      </c>
      <c r="J6" s="14" t="s">
        <v>0</v>
      </c>
      <c r="K6" s="14" t="s">
        <v>37</v>
      </c>
      <c r="L6" s="14" t="s">
        <v>38</v>
      </c>
      <c r="M6" s="14" t="s">
        <v>39</v>
      </c>
      <c r="N6" s="14" t="s">
        <v>40</v>
      </c>
      <c r="O6" s="14" t="s">
        <v>41</v>
      </c>
      <c r="P6" s="14" t="s">
        <v>42</v>
      </c>
      <c r="Q6" s="14" t="s">
        <v>43</v>
      </c>
      <c r="R6" s="14" t="s">
        <v>44</v>
      </c>
      <c r="S6" s="17"/>
      <c r="T6" s="17"/>
    </row>
    <row r="7" spans="1:20">
      <c r="A7" s="15" t="s">
        <v>45</v>
      </c>
      <c r="B7" s="15" t="s">
        <v>46</v>
      </c>
      <c r="C7" s="15" t="s">
        <v>47</v>
      </c>
      <c r="D7" s="15" t="s">
        <v>47</v>
      </c>
      <c r="E7" s="15" t="s">
        <v>47</v>
      </c>
      <c r="F7" s="15" t="s">
        <v>48</v>
      </c>
      <c r="G7" s="15" t="s">
        <v>49</v>
      </c>
      <c r="H7" s="15" t="s">
        <v>49</v>
      </c>
      <c r="I7" s="15" t="s">
        <v>48</v>
      </c>
      <c r="J7" s="15"/>
      <c r="K7" s="15"/>
      <c r="L7" s="15" t="s">
        <v>49</v>
      </c>
      <c r="M7" s="15" t="s">
        <v>50</v>
      </c>
      <c r="N7" s="15" t="s">
        <v>48</v>
      </c>
      <c r="O7" s="15" t="s">
        <v>47</v>
      </c>
      <c r="P7" s="15" t="s">
        <v>49</v>
      </c>
      <c r="Q7" s="15" t="s">
        <v>51</v>
      </c>
      <c r="R7" s="15" t="s">
        <v>50</v>
      </c>
      <c r="S7" s="15"/>
      <c r="T7" s="15" t="s">
        <v>52</v>
      </c>
    </row>
    <row r="8" spans="1:20">
      <c r="A8" s="15" t="s">
        <v>53</v>
      </c>
      <c r="B8" s="15" t="s">
        <v>54</v>
      </c>
      <c r="C8" s="15">
        <v>50</v>
      </c>
      <c r="D8" s="15" t="s">
        <v>47</v>
      </c>
      <c r="E8" s="15" t="s">
        <v>47</v>
      </c>
      <c r="F8" s="15" t="s">
        <v>48</v>
      </c>
      <c r="G8" s="15" t="s">
        <v>49</v>
      </c>
      <c r="H8" s="15" t="s">
        <v>48</v>
      </c>
      <c r="I8" s="15" t="s">
        <v>48</v>
      </c>
      <c r="J8" s="15"/>
      <c r="K8" s="15"/>
      <c r="L8" s="15" t="s">
        <v>49</v>
      </c>
      <c r="M8" s="15" t="s">
        <v>55</v>
      </c>
      <c r="N8" s="15" t="s">
        <v>48</v>
      </c>
      <c r="O8" s="15" t="s">
        <v>47</v>
      </c>
      <c r="P8" s="15" t="s">
        <v>49</v>
      </c>
      <c r="Q8" s="15" t="s">
        <v>51</v>
      </c>
      <c r="R8" s="15" t="s">
        <v>48</v>
      </c>
      <c r="S8" s="15"/>
      <c r="T8" s="15" t="s">
        <v>56</v>
      </c>
    </row>
  </sheetData>
  <mergeCells count="18">
    <mergeCell ref="A1:E1"/>
    <mergeCell ref="A4:T4"/>
    <mergeCell ref="B5:B6"/>
    <mergeCell ref="G5:G6"/>
    <mergeCell ref="H5:H6"/>
    <mergeCell ref="C5:C6"/>
    <mergeCell ref="D5:D6"/>
    <mergeCell ref="B2:E2"/>
    <mergeCell ref="B3:E3"/>
    <mergeCell ref="S5:S6"/>
    <mergeCell ref="T5:T6"/>
    <mergeCell ref="I5:K5"/>
    <mergeCell ref="L5:M5"/>
    <mergeCell ref="N5:O5"/>
    <mergeCell ref="P5:R5"/>
    <mergeCell ref="A5:A6"/>
    <mergeCell ref="F5:F6"/>
    <mergeCell ref="E5:E6"/>
  </mergeCells>
  <hyperlinks>
    <hyperlink ref="A1:E1" location="Clases!A1" display="&lt;-Volver al inicio" xr:uid="{845DD4A4-356D-496B-892B-AFFC0046019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58D2C02-A1AE-4476-8A03-AFEB90F1160F}">
          <x14:formula1>
            <xm:f>Valores!$C$2:$C$3</xm:f>
          </x14:formula1>
          <xm:sqref>F7:I8 L7:L8 N7:N8 P7:P8 R8</xm:sqref>
        </x14:dataValidation>
        <x14:dataValidation type="list" allowBlank="1" showInputMessage="1" showErrorMessage="1" xr:uid="{D70FF678-DCE5-4CB5-BFDA-A85FDD0E2B92}">
          <x14:formula1>
            <xm:f>Valores!$D$2:$D$3</xm:f>
          </x14:formula1>
          <xm:sqref>Q7:Q8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1B9A-0FA7-460D-AEA8-974846A51CB0}">
  <dimension ref="A1:D3"/>
  <sheetViews>
    <sheetView workbookViewId="0">
      <selection activeCell="D3" sqref="D3"/>
    </sheetView>
  </sheetViews>
  <sheetFormatPr defaultColWidth="11.42578125" defaultRowHeight="15"/>
  <cols>
    <col min="1" max="1" width="12.42578125" bestFit="1" customWidth="1"/>
    <col min="2" max="2" width="13.28515625" bestFit="1" customWidth="1"/>
  </cols>
  <sheetData>
    <row r="1" spans="1:4">
      <c r="A1" t="s">
        <v>57</v>
      </c>
      <c r="B1" t="s">
        <v>58</v>
      </c>
      <c r="C1" t="s">
        <v>59</v>
      </c>
      <c r="D1" t="s">
        <v>60</v>
      </c>
    </row>
    <row r="2" spans="1:4">
      <c r="A2" t="s">
        <v>61</v>
      </c>
      <c r="B2" t="s">
        <v>62</v>
      </c>
      <c r="C2" t="s">
        <v>49</v>
      </c>
      <c r="D2" t="s">
        <v>51</v>
      </c>
    </row>
    <row r="3" spans="1:4">
      <c r="A3" t="s">
        <v>63</v>
      </c>
      <c r="C3" t="s">
        <v>48</v>
      </c>
      <c r="D3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B867-BBED-4201-867F-E9BB98930FEB}">
  <dimension ref="A1:T9"/>
  <sheetViews>
    <sheetView topLeftCell="O1" zoomScaleNormal="100" workbookViewId="0">
      <pane ySplit="1" topLeftCell="B4" activePane="bottomLeft" state="frozen"/>
      <selection pane="bottomLeft" activeCell="B4" sqref="B4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4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9.85546875" style="1" bestFit="1" customWidth="1"/>
    <col min="20" max="20" width="49.28515625" style="1" bestFit="1" customWidth="1"/>
    <col min="21" max="16384" width="19.7109375" style="1"/>
  </cols>
  <sheetData>
    <row r="1" spans="1:20">
      <c r="A1" s="18" t="s">
        <v>20</v>
      </c>
      <c r="B1" s="18"/>
      <c r="C1" s="18"/>
      <c r="D1" s="18"/>
      <c r="E1" s="18"/>
    </row>
    <row r="2" spans="1:20" ht="13.5" customHeight="1">
      <c r="A2" s="2" t="str">
        <f>Entidades!$A$1</f>
        <v>Entidad</v>
      </c>
      <c r="B2" s="23" t="str">
        <f>Entidades!A3</f>
        <v>Ciudad</v>
      </c>
      <c r="C2" s="23"/>
      <c r="D2" s="23"/>
      <c r="E2" s="24"/>
    </row>
    <row r="3" spans="1:20">
      <c r="A3" s="3" t="str">
        <f>Entidades!$B$1</f>
        <v>Desripción</v>
      </c>
      <c r="B3" s="25" t="str">
        <f>Entidades!B3</f>
        <v>Entidad que contiene la información de la ciudad donde reside el cliente y/o donde está ubicado su negocio</v>
      </c>
      <c r="C3" s="25"/>
      <c r="D3" s="25"/>
      <c r="E3" s="26"/>
    </row>
    <row r="4" spans="1:20">
      <c r="A4" s="19" t="s">
        <v>21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</row>
    <row r="5" spans="1:20" s="4" customFormat="1">
      <c r="A5" s="17" t="s">
        <v>22</v>
      </c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17" t="s">
        <v>28</v>
      </c>
      <c r="H5" s="22" t="s">
        <v>29</v>
      </c>
      <c r="I5" s="17" t="s">
        <v>30</v>
      </c>
      <c r="J5" s="17"/>
      <c r="K5" s="17"/>
      <c r="L5" s="17" t="s">
        <v>31</v>
      </c>
      <c r="M5" s="17"/>
      <c r="N5" s="17" t="s">
        <v>32</v>
      </c>
      <c r="O5" s="17"/>
      <c r="P5" s="17" t="s">
        <v>33</v>
      </c>
      <c r="Q5" s="17"/>
      <c r="R5" s="17"/>
      <c r="S5" s="17" t="s">
        <v>34</v>
      </c>
      <c r="T5" s="17" t="s">
        <v>35</v>
      </c>
    </row>
    <row r="6" spans="1:20" s="4" customFormat="1">
      <c r="A6" s="17"/>
      <c r="B6" s="17"/>
      <c r="C6" s="17"/>
      <c r="D6" s="17"/>
      <c r="E6" s="17"/>
      <c r="F6" s="17"/>
      <c r="G6" s="17"/>
      <c r="H6" s="22"/>
      <c r="I6" s="14" t="s">
        <v>36</v>
      </c>
      <c r="J6" s="14" t="s">
        <v>0</v>
      </c>
      <c r="K6" s="14" t="s">
        <v>37</v>
      </c>
      <c r="L6" s="14" t="s">
        <v>38</v>
      </c>
      <c r="M6" s="14" t="s">
        <v>39</v>
      </c>
      <c r="N6" s="14" t="s">
        <v>40</v>
      </c>
      <c r="O6" s="14" t="s">
        <v>41</v>
      </c>
      <c r="P6" s="14" t="s">
        <v>42</v>
      </c>
      <c r="Q6" s="14" t="s">
        <v>43</v>
      </c>
      <c r="R6" s="14" t="s">
        <v>44</v>
      </c>
      <c r="S6" s="17"/>
      <c r="T6" s="17"/>
    </row>
    <row r="7" spans="1:20">
      <c r="A7" s="15" t="s">
        <v>65</v>
      </c>
      <c r="B7" s="15" t="s">
        <v>46</v>
      </c>
      <c r="C7" s="15" t="s">
        <v>47</v>
      </c>
      <c r="D7" s="15" t="s">
        <v>47</v>
      </c>
      <c r="E7" s="15" t="s">
        <v>47</v>
      </c>
      <c r="F7" s="15" t="s">
        <v>48</v>
      </c>
      <c r="G7" s="15" t="s">
        <v>49</v>
      </c>
      <c r="H7" s="15" t="s">
        <v>49</v>
      </c>
      <c r="I7" s="15" t="s">
        <v>48</v>
      </c>
      <c r="J7" s="15"/>
      <c r="K7" s="15"/>
      <c r="L7" s="15" t="s">
        <v>49</v>
      </c>
      <c r="M7" s="15" t="s">
        <v>66</v>
      </c>
      <c r="N7" s="15" t="s">
        <v>48</v>
      </c>
      <c r="O7" s="15"/>
      <c r="P7" s="15" t="s">
        <v>49</v>
      </c>
      <c r="Q7" s="15" t="s">
        <v>51</v>
      </c>
      <c r="R7" s="15" t="s">
        <v>67</v>
      </c>
      <c r="S7" s="15"/>
      <c r="T7" s="15" t="s">
        <v>68</v>
      </c>
    </row>
    <row r="8" spans="1:20">
      <c r="A8" s="15" t="s">
        <v>69</v>
      </c>
      <c r="B8" s="15" t="s">
        <v>46</v>
      </c>
      <c r="C8" s="15" t="s">
        <v>47</v>
      </c>
      <c r="D8" s="15" t="s">
        <v>47</v>
      </c>
      <c r="E8" s="15" t="s">
        <v>47</v>
      </c>
      <c r="F8" s="15" t="s">
        <v>48</v>
      </c>
      <c r="G8" s="15" t="s">
        <v>49</v>
      </c>
      <c r="H8" s="15" t="s">
        <v>48</v>
      </c>
      <c r="I8" s="15" t="s">
        <v>49</v>
      </c>
      <c r="J8" s="15" t="s">
        <v>2</v>
      </c>
      <c r="K8" s="15" t="s">
        <v>69</v>
      </c>
      <c r="L8" s="15" t="s">
        <v>48</v>
      </c>
      <c r="M8" s="15"/>
      <c r="N8" s="15" t="s">
        <v>48</v>
      </c>
      <c r="O8" s="15"/>
      <c r="P8" s="15" t="s">
        <v>49</v>
      </c>
      <c r="Q8" s="15" t="s">
        <v>51</v>
      </c>
      <c r="R8" s="15" t="s">
        <v>70</v>
      </c>
      <c r="S8" s="15"/>
      <c r="T8" s="15" t="s">
        <v>71</v>
      </c>
    </row>
    <row r="9" spans="1:20">
      <c r="A9" s="15" t="s">
        <v>53</v>
      </c>
      <c r="B9" s="15" t="s">
        <v>54</v>
      </c>
      <c r="C9" s="15">
        <v>50</v>
      </c>
      <c r="D9" s="15" t="s">
        <v>47</v>
      </c>
      <c r="E9" s="15" t="s">
        <v>47</v>
      </c>
      <c r="F9" s="15" t="s">
        <v>48</v>
      </c>
      <c r="G9" s="15" t="s">
        <v>49</v>
      </c>
      <c r="H9" s="15" t="s">
        <v>48</v>
      </c>
      <c r="I9" s="15" t="s">
        <v>48</v>
      </c>
      <c r="J9" s="15"/>
      <c r="K9" s="15"/>
      <c r="L9" s="15" t="s">
        <v>49</v>
      </c>
      <c r="M9" s="15" t="s">
        <v>72</v>
      </c>
      <c r="N9" s="15" t="s">
        <v>48</v>
      </c>
      <c r="O9" s="15"/>
      <c r="P9" s="15" t="s">
        <v>49</v>
      </c>
      <c r="Q9" s="15" t="s">
        <v>51</v>
      </c>
      <c r="R9" s="15" t="s">
        <v>73</v>
      </c>
      <c r="S9" s="15"/>
      <c r="T9" s="15" t="s">
        <v>74</v>
      </c>
    </row>
  </sheetData>
  <mergeCells count="18">
    <mergeCell ref="G5:G6"/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</mergeCells>
  <hyperlinks>
    <hyperlink ref="A1:E1" location="Clases!A1" display="&lt;-Volver al inicio" xr:uid="{DD233E73-01C2-4C61-BC95-8F8D16D1DD2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EC80331-156B-48D3-B635-EDF225B03A15}">
          <x14:formula1>
            <xm:f>Valores!$C$2:$C$3</xm:f>
          </x14:formula1>
          <xm:sqref>F7:I9 L7:L9 N7:N9 P7:P9</xm:sqref>
        </x14:dataValidation>
        <x14:dataValidation type="list" allowBlank="1" showInputMessage="1" showErrorMessage="1" xr:uid="{E06AD6B6-57E9-4BBA-8596-7A3CB25E03BA}">
          <x14:formula1>
            <xm:f>Valores!$D$2:$D$3</xm:f>
          </x14:formula1>
          <xm:sqref>Q7:Q9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456B-A845-4900-B1D7-948BA1CBAEAD}">
  <dimension ref="A1:T12"/>
  <sheetViews>
    <sheetView tabSelected="1" topLeftCell="O1" zoomScaleNormal="100" workbookViewId="0">
      <pane ySplit="1" topLeftCell="A3" activePane="bottomLeft" state="frozen"/>
      <selection pane="bottomLeft" activeCell="F7" sqref="F7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9" style="1" bestFit="1" customWidth="1"/>
    <col min="20" max="20" width="42.42578125" style="1" bestFit="1" customWidth="1"/>
    <col min="21" max="16384" width="19.7109375" style="1"/>
  </cols>
  <sheetData>
    <row r="1" spans="1:20">
      <c r="A1" s="18" t="s">
        <v>20</v>
      </c>
      <c r="B1" s="18"/>
      <c r="C1" s="18"/>
      <c r="D1" s="18"/>
      <c r="E1" s="18"/>
    </row>
    <row r="2" spans="1:20" ht="13.5" customHeight="1">
      <c r="A2" s="2" t="str">
        <f>Entidades!$A$1</f>
        <v>Entidad</v>
      </c>
      <c r="B2" s="23" t="str">
        <f>Entidades!A4</f>
        <v>Cliente</v>
      </c>
      <c r="C2" s="23"/>
      <c r="D2" s="23"/>
      <c r="E2" s="24"/>
    </row>
    <row r="3" spans="1:20">
      <c r="A3" s="3" t="str">
        <f>Entidades!$B$1</f>
        <v>Desripción</v>
      </c>
      <c r="B3" s="25" t="str">
        <f>Entidades!B4</f>
        <v>Entidad que contiene la información del usuario que realiza las solicitudes de cotización en la aplicación</v>
      </c>
      <c r="C3" s="25"/>
      <c r="D3" s="25"/>
      <c r="E3" s="26"/>
    </row>
    <row r="4" spans="1:20">
      <c r="A4" s="19" t="s">
        <v>21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</row>
    <row r="5" spans="1:20" s="4" customFormat="1">
      <c r="A5" s="17" t="s">
        <v>22</v>
      </c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17" t="s">
        <v>28</v>
      </c>
      <c r="H5" s="22" t="s">
        <v>29</v>
      </c>
      <c r="I5" s="17" t="s">
        <v>30</v>
      </c>
      <c r="J5" s="17"/>
      <c r="K5" s="17"/>
      <c r="L5" s="17" t="s">
        <v>31</v>
      </c>
      <c r="M5" s="17"/>
      <c r="N5" s="17" t="s">
        <v>32</v>
      </c>
      <c r="O5" s="17"/>
      <c r="P5" s="17" t="s">
        <v>33</v>
      </c>
      <c r="Q5" s="17"/>
      <c r="R5" s="17"/>
      <c r="S5" s="17" t="s">
        <v>34</v>
      </c>
      <c r="T5" s="17" t="s">
        <v>35</v>
      </c>
    </row>
    <row r="6" spans="1:20" s="4" customFormat="1">
      <c r="A6" s="17"/>
      <c r="B6" s="17"/>
      <c r="C6" s="17"/>
      <c r="D6" s="17"/>
      <c r="E6" s="17"/>
      <c r="F6" s="17"/>
      <c r="G6" s="17"/>
      <c r="H6" s="22"/>
      <c r="I6" s="14" t="s">
        <v>36</v>
      </c>
      <c r="J6" s="14" t="s">
        <v>0</v>
      </c>
      <c r="K6" s="14" t="s">
        <v>37</v>
      </c>
      <c r="L6" s="14" t="s">
        <v>38</v>
      </c>
      <c r="M6" s="14" t="s">
        <v>39</v>
      </c>
      <c r="N6" s="14" t="s">
        <v>40</v>
      </c>
      <c r="O6" s="14" t="s">
        <v>41</v>
      </c>
      <c r="P6" s="14" t="s">
        <v>42</v>
      </c>
      <c r="Q6" s="14" t="s">
        <v>43</v>
      </c>
      <c r="R6" s="14" t="s">
        <v>44</v>
      </c>
      <c r="S6" s="17"/>
      <c r="T6" s="17"/>
    </row>
    <row r="7" spans="1:20">
      <c r="A7" s="15" t="s">
        <v>75</v>
      </c>
      <c r="B7" s="15" t="s">
        <v>54</v>
      </c>
      <c r="C7" s="15" t="s">
        <v>47</v>
      </c>
      <c r="D7" s="15" t="s">
        <v>47</v>
      </c>
      <c r="E7" s="15" t="s">
        <v>47</v>
      </c>
      <c r="F7" s="15" t="s">
        <v>48</v>
      </c>
      <c r="G7" s="15" t="s">
        <v>49</v>
      </c>
      <c r="H7" s="15" t="s">
        <v>49</v>
      </c>
      <c r="I7" s="15" t="s">
        <v>48</v>
      </c>
      <c r="J7" s="15"/>
      <c r="K7" s="15"/>
      <c r="L7" s="15" t="s">
        <v>49</v>
      </c>
      <c r="M7" s="15" t="s">
        <v>76</v>
      </c>
      <c r="N7" s="15" t="s">
        <v>48</v>
      </c>
      <c r="O7" s="15"/>
      <c r="P7" s="15" t="s">
        <v>49</v>
      </c>
      <c r="Q7" s="15" t="s">
        <v>51</v>
      </c>
      <c r="R7" s="15" t="s">
        <v>77</v>
      </c>
      <c r="S7" s="15"/>
      <c r="T7" s="15" t="s">
        <v>78</v>
      </c>
    </row>
    <row r="8" spans="1:20">
      <c r="A8" s="15" t="s">
        <v>53</v>
      </c>
      <c r="B8" s="15" t="s">
        <v>54</v>
      </c>
      <c r="C8" s="15">
        <v>50</v>
      </c>
      <c r="D8" s="15" t="s">
        <v>47</v>
      </c>
      <c r="E8" s="15" t="s">
        <v>47</v>
      </c>
      <c r="F8" s="15" t="s">
        <v>48</v>
      </c>
      <c r="G8" s="15" t="s">
        <v>49</v>
      </c>
      <c r="H8" s="15" t="s">
        <v>48</v>
      </c>
      <c r="I8" s="15" t="s">
        <v>48</v>
      </c>
      <c r="J8" s="15"/>
      <c r="K8" s="15"/>
      <c r="L8" s="15" t="s">
        <v>48</v>
      </c>
      <c r="M8" s="15"/>
      <c r="N8" s="15" t="s">
        <v>48</v>
      </c>
      <c r="O8" s="15"/>
      <c r="P8" s="15" t="s">
        <v>49</v>
      </c>
      <c r="Q8" s="15" t="s">
        <v>51</v>
      </c>
      <c r="R8" s="15" t="s">
        <v>79</v>
      </c>
      <c r="S8" s="15"/>
      <c r="T8" s="15" t="s">
        <v>80</v>
      </c>
    </row>
    <row r="9" spans="1:20">
      <c r="A9" s="15" t="s">
        <v>81</v>
      </c>
      <c r="B9" s="15" t="s">
        <v>54</v>
      </c>
      <c r="C9" s="15">
        <v>50</v>
      </c>
      <c r="D9" s="15" t="s">
        <v>47</v>
      </c>
      <c r="E9" s="15" t="s">
        <v>47</v>
      </c>
      <c r="F9" s="15" t="s">
        <v>48</v>
      </c>
      <c r="G9" s="15" t="s">
        <v>49</v>
      </c>
      <c r="H9" s="15" t="s">
        <v>48</v>
      </c>
      <c r="I9" s="15" t="s">
        <v>48</v>
      </c>
      <c r="J9" s="15"/>
      <c r="K9" s="15"/>
      <c r="L9" s="15" t="s">
        <v>48</v>
      </c>
      <c r="M9" s="15"/>
      <c r="N9" s="15" t="s">
        <v>48</v>
      </c>
      <c r="O9" s="15"/>
      <c r="P9" s="15" t="s">
        <v>49</v>
      </c>
      <c r="Q9" s="15" t="s">
        <v>51</v>
      </c>
      <c r="R9" s="15" t="s">
        <v>82</v>
      </c>
      <c r="S9" s="15"/>
      <c r="T9" s="15" t="s">
        <v>83</v>
      </c>
    </row>
    <row r="10" spans="1:20">
      <c r="A10" s="15" t="s">
        <v>84</v>
      </c>
      <c r="B10" s="15" t="s">
        <v>54</v>
      </c>
      <c r="C10" s="15">
        <v>50</v>
      </c>
      <c r="D10" s="15" t="s">
        <v>47</v>
      </c>
      <c r="E10" s="15" t="s">
        <v>47</v>
      </c>
      <c r="F10" s="15" t="s">
        <v>48</v>
      </c>
      <c r="G10" s="15" t="s">
        <v>49</v>
      </c>
      <c r="H10" s="15" t="s">
        <v>48</v>
      </c>
      <c r="I10" s="15" t="s">
        <v>48</v>
      </c>
      <c r="J10" s="15"/>
      <c r="K10" s="15"/>
      <c r="L10" s="15" t="s">
        <v>49</v>
      </c>
      <c r="M10" s="15" t="s">
        <v>85</v>
      </c>
      <c r="N10" s="15" t="s">
        <v>48</v>
      </c>
      <c r="O10" s="15"/>
      <c r="P10" s="15" t="s">
        <v>49</v>
      </c>
      <c r="Q10" s="15" t="s">
        <v>51</v>
      </c>
      <c r="R10" s="15" t="s">
        <v>86</v>
      </c>
      <c r="S10" s="15"/>
      <c r="T10" s="15" t="s">
        <v>87</v>
      </c>
    </row>
    <row r="11" spans="1:20">
      <c r="A11" s="15" t="s">
        <v>88</v>
      </c>
      <c r="B11" s="15" t="s">
        <v>54</v>
      </c>
      <c r="C11" s="15">
        <v>12</v>
      </c>
      <c r="D11" s="15" t="s">
        <v>47</v>
      </c>
      <c r="E11" s="15" t="s">
        <v>47</v>
      </c>
      <c r="F11" s="15" t="s">
        <v>48</v>
      </c>
      <c r="G11" s="15" t="s">
        <v>49</v>
      </c>
      <c r="H11" s="15" t="s">
        <v>48</v>
      </c>
      <c r="I11" s="15" t="s">
        <v>48</v>
      </c>
      <c r="J11" s="15"/>
      <c r="K11" s="15"/>
      <c r="L11" s="15" t="s">
        <v>48</v>
      </c>
      <c r="M11" s="15"/>
      <c r="N11" s="15" t="s">
        <v>48</v>
      </c>
      <c r="O11" s="15"/>
      <c r="P11" s="15" t="s">
        <v>49</v>
      </c>
      <c r="Q11" s="15" t="s">
        <v>51</v>
      </c>
      <c r="R11" s="15" t="s">
        <v>89</v>
      </c>
      <c r="S11" s="15"/>
      <c r="T11" s="15" t="s">
        <v>90</v>
      </c>
    </row>
    <row r="12" spans="1:20">
      <c r="A12" s="15" t="s">
        <v>65</v>
      </c>
      <c r="B12" s="15" t="s">
        <v>91</v>
      </c>
      <c r="C12" s="15" t="s">
        <v>47</v>
      </c>
      <c r="D12" s="15" t="s">
        <v>47</v>
      </c>
      <c r="E12" s="15" t="s">
        <v>47</v>
      </c>
      <c r="F12" s="15" t="s">
        <v>48</v>
      </c>
      <c r="G12" s="15" t="s">
        <v>49</v>
      </c>
      <c r="H12" s="15" t="s">
        <v>48</v>
      </c>
      <c r="I12" s="15" t="s">
        <v>49</v>
      </c>
      <c r="J12" s="15" t="s">
        <v>4</v>
      </c>
      <c r="K12" s="15" t="s">
        <v>65</v>
      </c>
      <c r="L12" s="15" t="s">
        <v>48</v>
      </c>
      <c r="M12" s="15"/>
      <c r="N12" s="15" t="s">
        <v>48</v>
      </c>
      <c r="O12" s="15"/>
      <c r="P12" s="15" t="s">
        <v>49</v>
      </c>
      <c r="Q12" s="15" t="s">
        <v>51</v>
      </c>
      <c r="R12" s="15" t="s">
        <v>92</v>
      </c>
      <c r="S12" s="15"/>
      <c r="T12" s="15" t="s">
        <v>93</v>
      </c>
    </row>
  </sheetData>
  <mergeCells count="18">
    <mergeCell ref="G5:G6"/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</mergeCells>
  <hyperlinks>
    <hyperlink ref="A1:E1" location="Clases!A1" display="&lt;-Volver al inicio" xr:uid="{20417C4D-5674-41C3-B33E-E22FCE87675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0274396-F1D5-49D4-9E81-72621AFEE44E}">
          <x14:formula1>
            <xm:f>Valores!$C$2:$C$3</xm:f>
          </x14:formula1>
          <xm:sqref>F7:I12 N7:N12 P7:P12 L7:L12</xm:sqref>
        </x14:dataValidation>
        <x14:dataValidation type="list" allowBlank="1" showInputMessage="1" showErrorMessage="1" xr:uid="{6F556931-19A2-4B82-8391-C0EE34475267}">
          <x14:formula1>
            <xm:f>Valores!$D$2:$D$3</xm:f>
          </x14:formula1>
          <xm:sqref>Q7:Q12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FA10-3EC7-4C04-AFFF-9A95D2038BD4}">
  <dimension ref="A1:T28"/>
  <sheetViews>
    <sheetView topLeftCell="O1" zoomScaleNormal="100" workbookViewId="0">
      <pane ySplit="1" topLeftCell="A4" activePane="bottomLeft" state="frozen"/>
      <selection pane="bottomLeft" activeCell="A9" sqref="A9"/>
    </sheetView>
  </sheetViews>
  <sheetFormatPr defaultColWidth="19.7109375" defaultRowHeight="15"/>
  <cols>
    <col min="1" max="1" width="19.570312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72.28515625" style="1" bestFit="1" customWidth="1"/>
    <col min="21" max="16384" width="19.7109375" style="1"/>
  </cols>
  <sheetData>
    <row r="1" spans="1:20">
      <c r="A1" s="18" t="s">
        <v>20</v>
      </c>
      <c r="B1" s="18"/>
      <c r="C1" s="18"/>
      <c r="D1" s="18"/>
      <c r="E1" s="18"/>
    </row>
    <row r="2" spans="1:20" ht="13.5" customHeight="1">
      <c r="A2" s="2" t="str">
        <f>Entidades!$A$1</f>
        <v>Entidad</v>
      </c>
      <c r="B2" s="23" t="str">
        <f>Entidades!A5</f>
        <v>Colaborador</v>
      </c>
      <c r="C2" s="23"/>
      <c r="D2" s="23"/>
      <c r="E2" s="24"/>
    </row>
    <row r="3" spans="1:20">
      <c r="A3" s="3" t="str">
        <f>Entidades!$B$1</f>
        <v>Desripción</v>
      </c>
      <c r="B3" s="25" t="str">
        <f>Entidades!B5</f>
        <v>Entidad que contiene la información de un usuario externo encargado de ayudar al cliente con las solicitudes de cotización</v>
      </c>
      <c r="C3" s="25"/>
      <c r="D3" s="25"/>
      <c r="E3" s="26"/>
    </row>
    <row r="4" spans="1:20">
      <c r="A4" s="19" t="s">
        <v>21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</row>
    <row r="5" spans="1:20" s="4" customFormat="1">
      <c r="A5" s="17" t="s">
        <v>22</v>
      </c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17" t="s">
        <v>28</v>
      </c>
      <c r="H5" s="22" t="s">
        <v>29</v>
      </c>
      <c r="I5" s="17" t="s">
        <v>30</v>
      </c>
      <c r="J5" s="17"/>
      <c r="K5" s="17"/>
      <c r="L5" s="17" t="s">
        <v>31</v>
      </c>
      <c r="M5" s="17"/>
      <c r="N5" s="17" t="s">
        <v>32</v>
      </c>
      <c r="O5" s="17"/>
      <c r="P5" s="17" t="s">
        <v>33</v>
      </c>
      <c r="Q5" s="17"/>
      <c r="R5" s="17"/>
      <c r="S5" s="17" t="s">
        <v>34</v>
      </c>
      <c r="T5" s="17" t="s">
        <v>35</v>
      </c>
    </row>
    <row r="6" spans="1:20" s="4" customFormat="1">
      <c r="A6" s="17"/>
      <c r="B6" s="17"/>
      <c r="C6" s="17"/>
      <c r="D6" s="17"/>
      <c r="E6" s="17"/>
      <c r="F6" s="17"/>
      <c r="G6" s="17"/>
      <c r="H6" s="22"/>
      <c r="I6" s="14" t="s">
        <v>36</v>
      </c>
      <c r="J6" s="14" t="s">
        <v>0</v>
      </c>
      <c r="K6" s="14" t="s">
        <v>37</v>
      </c>
      <c r="L6" s="14" t="s">
        <v>38</v>
      </c>
      <c r="M6" s="14" t="s">
        <v>39</v>
      </c>
      <c r="N6" s="14" t="s">
        <v>40</v>
      </c>
      <c r="O6" s="14" t="s">
        <v>41</v>
      </c>
      <c r="P6" s="14" t="s">
        <v>42</v>
      </c>
      <c r="Q6" s="14" t="s">
        <v>43</v>
      </c>
      <c r="R6" s="14" t="s">
        <v>44</v>
      </c>
      <c r="S6" s="17"/>
      <c r="T6" s="17"/>
    </row>
    <row r="7" spans="1:20">
      <c r="A7" s="15" t="s">
        <v>94</v>
      </c>
      <c r="B7" s="15" t="s">
        <v>46</v>
      </c>
      <c r="C7" s="15" t="s">
        <v>47</v>
      </c>
      <c r="D7" s="15" t="s">
        <v>47</v>
      </c>
      <c r="E7" s="15" t="s">
        <v>47</v>
      </c>
      <c r="F7" s="15" t="s">
        <v>48</v>
      </c>
      <c r="G7" s="15" t="s">
        <v>49</v>
      </c>
      <c r="H7" s="15" t="s">
        <v>49</v>
      </c>
      <c r="I7" s="15" t="s">
        <v>48</v>
      </c>
      <c r="J7" s="15"/>
      <c r="K7" s="15"/>
      <c r="L7" s="15" t="s">
        <v>49</v>
      </c>
      <c r="M7" s="15" t="s">
        <v>95</v>
      </c>
      <c r="N7" s="15" t="s">
        <v>48</v>
      </c>
      <c r="O7" s="15"/>
      <c r="P7" s="15" t="s">
        <v>49</v>
      </c>
      <c r="Q7" s="15" t="s">
        <v>51</v>
      </c>
      <c r="R7" s="15" t="s">
        <v>96</v>
      </c>
      <c r="S7" s="15"/>
      <c r="T7" s="15" t="s">
        <v>97</v>
      </c>
    </row>
    <row r="8" spans="1:20">
      <c r="A8" s="15" t="s">
        <v>98</v>
      </c>
      <c r="B8" s="15" t="s">
        <v>99</v>
      </c>
      <c r="C8" s="15" t="s">
        <v>47</v>
      </c>
      <c r="D8" s="15" t="s">
        <v>47</v>
      </c>
      <c r="E8" s="15" t="s">
        <v>47</v>
      </c>
      <c r="F8" s="15" t="s">
        <v>48</v>
      </c>
      <c r="G8" s="15" t="s">
        <v>49</v>
      </c>
      <c r="H8" s="15" t="s">
        <v>48</v>
      </c>
      <c r="I8" s="15" t="s">
        <v>49</v>
      </c>
      <c r="J8" s="15" t="s">
        <v>98</v>
      </c>
      <c r="K8" s="15" t="s">
        <v>94</v>
      </c>
      <c r="L8" s="15" t="s">
        <v>48</v>
      </c>
      <c r="M8" s="15"/>
      <c r="N8" s="15" t="s">
        <v>48</v>
      </c>
      <c r="O8" s="15"/>
      <c r="P8" s="15" t="s">
        <v>49</v>
      </c>
      <c r="Q8" s="15" t="s">
        <v>51</v>
      </c>
      <c r="R8" s="15" t="s">
        <v>100</v>
      </c>
      <c r="S8" s="15"/>
      <c r="T8" s="15" t="s">
        <v>101</v>
      </c>
    </row>
    <row r="9" spans="1:20">
      <c r="A9" s="15" t="s">
        <v>84</v>
      </c>
      <c r="B9" s="15" t="s">
        <v>54</v>
      </c>
      <c r="C9" s="15">
        <v>50</v>
      </c>
      <c r="D9" s="15" t="s">
        <v>47</v>
      </c>
      <c r="E9" s="15" t="s">
        <v>47</v>
      </c>
      <c r="F9" s="15" t="s">
        <v>48</v>
      </c>
      <c r="G9" s="15" t="s">
        <v>49</v>
      </c>
      <c r="H9" s="15" t="s">
        <v>48</v>
      </c>
      <c r="I9" s="15" t="s">
        <v>48</v>
      </c>
      <c r="J9" s="15"/>
      <c r="K9" s="15"/>
      <c r="L9" s="15" t="s">
        <v>49</v>
      </c>
      <c r="M9" s="15" t="s">
        <v>102</v>
      </c>
      <c r="N9" s="15" t="s">
        <v>48</v>
      </c>
      <c r="O9" s="15"/>
      <c r="P9" s="15" t="s">
        <v>49</v>
      </c>
      <c r="Q9" s="15" t="s">
        <v>51</v>
      </c>
      <c r="R9" s="15" t="s">
        <v>103</v>
      </c>
      <c r="S9" s="15"/>
      <c r="T9" s="15" t="s">
        <v>104</v>
      </c>
    </row>
    <row r="10" spans="1:20">
      <c r="A10" s="15" t="s">
        <v>105</v>
      </c>
      <c r="B10" s="15" t="s">
        <v>106</v>
      </c>
      <c r="C10" s="15" t="s">
        <v>47</v>
      </c>
      <c r="D10" s="15" t="s">
        <v>47</v>
      </c>
      <c r="E10" s="15" t="s">
        <v>47</v>
      </c>
      <c r="F10" s="15" t="s">
        <v>48</v>
      </c>
      <c r="G10" s="15" t="s">
        <v>49</v>
      </c>
      <c r="H10" s="15" t="s">
        <v>48</v>
      </c>
      <c r="I10" s="15" t="s">
        <v>48</v>
      </c>
      <c r="J10" s="15"/>
      <c r="K10" s="15"/>
      <c r="L10" s="15" t="s">
        <v>48</v>
      </c>
      <c r="M10" s="15"/>
      <c r="N10" s="15" t="s">
        <v>48</v>
      </c>
      <c r="O10" s="15"/>
      <c r="P10" s="15" t="s">
        <v>48</v>
      </c>
      <c r="Q10" s="15"/>
      <c r="R10" s="15" t="s">
        <v>48</v>
      </c>
      <c r="S10" s="15"/>
      <c r="T10" s="15" t="s">
        <v>107</v>
      </c>
    </row>
    <row r="28" ht="15.75" customHeight="1"/>
  </sheetData>
  <mergeCells count="18">
    <mergeCell ref="G5:G6"/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</mergeCells>
  <hyperlinks>
    <hyperlink ref="A1:E1" location="Clases!A1" display="&lt;-Volver al inicio" xr:uid="{5A9B0916-D784-492D-9C44-93400C1EDF3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C342E60-CBB7-4EBB-AA77-B3756ECD44A0}">
          <x14:formula1>
            <xm:f>Valores!$D$2:$D$3</xm:f>
          </x14:formula1>
          <xm:sqref>Q7:Q10</xm:sqref>
        </x14:dataValidation>
        <x14:dataValidation type="list" allowBlank="1" showInputMessage="1" showErrorMessage="1" xr:uid="{433861EC-3044-4910-B707-574B1E50F763}">
          <x14:formula1>
            <xm:f>Valores!$C$2:$C$3</xm:f>
          </x14:formula1>
          <xm:sqref>F7:I10 L7:L10 N7:N10 P7:P10 R10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A707-2EEC-4CAC-ABAE-28BC69EDAA9D}">
  <dimension ref="A1:T11"/>
  <sheetViews>
    <sheetView topLeftCell="O1" zoomScaleNormal="100" workbookViewId="0">
      <pane ySplit="1" topLeftCell="A2" activePane="bottomLeft" state="frozen"/>
      <selection pane="bottomLeft" activeCell="A12" sqref="A12"/>
    </sheetView>
  </sheetViews>
  <sheetFormatPr defaultColWidth="19.7109375" defaultRowHeight="15"/>
  <cols>
    <col min="1" max="1" width="20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44" style="1" bestFit="1" customWidth="1"/>
    <col min="21" max="16384" width="19.7109375" style="1"/>
  </cols>
  <sheetData>
    <row r="1" spans="1:20">
      <c r="A1" s="18" t="s">
        <v>20</v>
      </c>
      <c r="B1" s="18"/>
      <c r="C1" s="18"/>
      <c r="D1" s="18"/>
      <c r="E1" s="18"/>
    </row>
    <row r="2" spans="1:20" ht="13.5" customHeight="1">
      <c r="A2" s="2" t="str">
        <f>Entidades!$A$1</f>
        <v>Entidad</v>
      </c>
      <c r="B2" s="23" t="str">
        <f>Entidades!A6</f>
        <v>Negocio</v>
      </c>
      <c r="C2" s="23"/>
      <c r="D2" s="23"/>
      <c r="E2" s="24"/>
    </row>
    <row r="3" spans="1:20">
      <c r="A3" s="3" t="str">
        <f>Entidades!$B$1</f>
        <v>Desripción</v>
      </c>
      <c r="B3" s="25" t="str">
        <f>Entidades!B6</f>
        <v>Entidad que contiene la información del negocio que ha registrado el cliente en la aplicación</v>
      </c>
      <c r="C3" s="25"/>
      <c r="D3" s="25"/>
      <c r="E3" s="26"/>
    </row>
    <row r="4" spans="1:20">
      <c r="A4" s="19" t="s">
        <v>21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</row>
    <row r="5" spans="1:20" s="4" customFormat="1">
      <c r="A5" s="17" t="s">
        <v>22</v>
      </c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17" t="s">
        <v>28</v>
      </c>
      <c r="H5" s="22" t="s">
        <v>29</v>
      </c>
      <c r="I5" s="17" t="s">
        <v>30</v>
      </c>
      <c r="J5" s="17"/>
      <c r="K5" s="17"/>
      <c r="L5" s="17" t="s">
        <v>31</v>
      </c>
      <c r="M5" s="17"/>
      <c r="N5" s="17" t="s">
        <v>32</v>
      </c>
      <c r="O5" s="17"/>
      <c r="P5" s="17" t="s">
        <v>33</v>
      </c>
      <c r="Q5" s="17"/>
      <c r="R5" s="17"/>
      <c r="S5" s="17" t="s">
        <v>34</v>
      </c>
      <c r="T5" s="17" t="s">
        <v>35</v>
      </c>
    </row>
    <row r="6" spans="1:20" s="4" customFormat="1">
      <c r="A6" s="17"/>
      <c r="B6" s="17"/>
      <c r="C6" s="17"/>
      <c r="D6" s="17"/>
      <c r="E6" s="17"/>
      <c r="F6" s="17"/>
      <c r="G6" s="17"/>
      <c r="H6" s="22"/>
      <c r="I6" s="14" t="s">
        <v>36</v>
      </c>
      <c r="J6" s="14" t="s">
        <v>0</v>
      </c>
      <c r="K6" s="14" t="s">
        <v>37</v>
      </c>
      <c r="L6" s="14" t="s">
        <v>38</v>
      </c>
      <c r="M6" s="14" t="s">
        <v>39</v>
      </c>
      <c r="N6" s="14" t="s">
        <v>40</v>
      </c>
      <c r="O6" s="14" t="s">
        <v>41</v>
      </c>
      <c r="P6" s="14" t="s">
        <v>42</v>
      </c>
      <c r="Q6" s="14" t="s">
        <v>43</v>
      </c>
      <c r="R6" s="14" t="s">
        <v>44</v>
      </c>
      <c r="S6" s="17"/>
      <c r="T6" s="17"/>
    </row>
    <row r="7" spans="1:20">
      <c r="A7" s="15" t="s">
        <v>108</v>
      </c>
      <c r="B7" s="15" t="s">
        <v>54</v>
      </c>
      <c r="C7" s="15">
        <v>50</v>
      </c>
      <c r="D7" s="15" t="s">
        <v>47</v>
      </c>
      <c r="E7" s="15" t="s">
        <v>47</v>
      </c>
      <c r="F7" s="15" t="s">
        <v>48</v>
      </c>
      <c r="G7" s="15" t="s">
        <v>49</v>
      </c>
      <c r="H7" s="15" t="s">
        <v>49</v>
      </c>
      <c r="I7" s="15" t="s">
        <v>48</v>
      </c>
      <c r="J7" s="15"/>
      <c r="K7" s="15"/>
      <c r="L7" s="15" t="s">
        <v>48</v>
      </c>
      <c r="M7" s="15"/>
      <c r="N7" s="15" t="s">
        <v>48</v>
      </c>
      <c r="O7" s="15"/>
      <c r="P7" s="15" t="s">
        <v>49</v>
      </c>
      <c r="Q7" s="15" t="s">
        <v>51</v>
      </c>
      <c r="R7" s="15" t="s">
        <v>109</v>
      </c>
      <c r="S7" s="15"/>
      <c r="T7" s="15" t="s">
        <v>110</v>
      </c>
    </row>
    <row r="8" spans="1:20">
      <c r="A8" s="15" t="s">
        <v>53</v>
      </c>
      <c r="B8" s="15" t="s">
        <v>54</v>
      </c>
      <c r="C8" s="15">
        <v>50</v>
      </c>
      <c r="D8" s="15" t="s">
        <v>47</v>
      </c>
      <c r="E8" s="15" t="s">
        <v>47</v>
      </c>
      <c r="F8" s="15" t="s">
        <v>48</v>
      </c>
      <c r="G8" s="15" t="s">
        <v>49</v>
      </c>
      <c r="H8" s="15" t="s">
        <v>48</v>
      </c>
      <c r="I8" s="15" t="s">
        <v>48</v>
      </c>
      <c r="J8" s="15"/>
      <c r="K8" s="15"/>
      <c r="L8" s="15" t="s">
        <v>49</v>
      </c>
      <c r="M8" s="15" t="s">
        <v>111</v>
      </c>
      <c r="N8" s="15" t="s">
        <v>48</v>
      </c>
      <c r="O8" s="15"/>
      <c r="P8" s="15" t="s">
        <v>48</v>
      </c>
      <c r="Q8" s="15"/>
      <c r="R8" s="15" t="s">
        <v>48</v>
      </c>
      <c r="S8" s="15"/>
      <c r="T8" s="15" t="s">
        <v>112</v>
      </c>
    </row>
    <row r="9" spans="1:20">
      <c r="A9" s="15" t="s">
        <v>113</v>
      </c>
      <c r="B9" s="15" t="s">
        <v>54</v>
      </c>
      <c r="C9" s="15">
        <v>50</v>
      </c>
      <c r="D9" s="15" t="s">
        <v>47</v>
      </c>
      <c r="E9" s="15" t="s">
        <v>47</v>
      </c>
      <c r="F9" s="15" t="s">
        <v>48</v>
      </c>
      <c r="G9" s="15" t="s">
        <v>48</v>
      </c>
      <c r="H9" s="15" t="s">
        <v>48</v>
      </c>
      <c r="I9" s="15" t="s">
        <v>48</v>
      </c>
      <c r="J9" s="15"/>
      <c r="K9" s="15"/>
      <c r="L9" s="15" t="s">
        <v>48</v>
      </c>
      <c r="M9" s="15"/>
      <c r="N9" s="15" t="s">
        <v>48</v>
      </c>
      <c r="O9" s="15"/>
      <c r="P9" s="15" t="s">
        <v>48</v>
      </c>
      <c r="Q9" s="15"/>
      <c r="R9" s="15" t="s">
        <v>48</v>
      </c>
      <c r="S9" s="15"/>
      <c r="T9" s="15" t="s">
        <v>114</v>
      </c>
    </row>
    <row r="10" spans="1:20">
      <c r="A10" s="15" t="s">
        <v>115</v>
      </c>
      <c r="B10" s="15" t="s">
        <v>54</v>
      </c>
      <c r="C10" s="15">
        <v>50</v>
      </c>
      <c r="D10" s="15" t="s">
        <v>47</v>
      </c>
      <c r="E10" s="15" t="s">
        <v>47</v>
      </c>
      <c r="F10" s="15" t="s">
        <v>48</v>
      </c>
      <c r="G10" s="15" t="s">
        <v>49</v>
      </c>
      <c r="H10" s="15" t="s">
        <v>48</v>
      </c>
      <c r="I10" s="15" t="s">
        <v>48</v>
      </c>
      <c r="J10" s="15"/>
      <c r="K10" s="15"/>
      <c r="L10" s="15" t="s">
        <v>48</v>
      </c>
      <c r="M10" s="15"/>
      <c r="N10" s="15" t="s">
        <v>48</v>
      </c>
      <c r="O10" s="15"/>
      <c r="P10" s="15" t="s">
        <v>48</v>
      </c>
      <c r="Q10" s="15"/>
      <c r="R10" s="15" t="s">
        <v>48</v>
      </c>
      <c r="S10" s="15"/>
      <c r="T10" s="15" t="s">
        <v>116</v>
      </c>
    </row>
    <row r="11" spans="1:20">
      <c r="A11" s="15" t="s">
        <v>98</v>
      </c>
      <c r="B11" s="15" t="s">
        <v>46</v>
      </c>
      <c r="C11" s="15" t="s">
        <v>47</v>
      </c>
      <c r="D11" s="15" t="s">
        <v>47</v>
      </c>
      <c r="E11" s="15" t="s">
        <v>47</v>
      </c>
      <c r="F11" s="15" t="s">
        <v>48</v>
      </c>
      <c r="G11" s="15" t="s">
        <v>49</v>
      </c>
      <c r="H11" s="15" t="s">
        <v>48</v>
      </c>
      <c r="I11" s="15" t="s">
        <v>49</v>
      </c>
      <c r="J11" s="15" t="s">
        <v>6</v>
      </c>
      <c r="K11" s="15" t="s">
        <v>117</v>
      </c>
      <c r="L11" s="15" t="s">
        <v>48</v>
      </c>
      <c r="M11" s="15"/>
      <c r="N11" s="15" t="s">
        <v>48</v>
      </c>
      <c r="O11" s="15"/>
      <c r="P11" s="15" t="s">
        <v>48</v>
      </c>
      <c r="Q11" s="15"/>
      <c r="R11" s="15" t="s">
        <v>48</v>
      </c>
      <c r="S11" s="15"/>
      <c r="T11" s="15" t="s">
        <v>118</v>
      </c>
    </row>
  </sheetData>
  <mergeCells count="18">
    <mergeCell ref="G5:G6"/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</mergeCells>
  <hyperlinks>
    <hyperlink ref="A1:E1" location="Clases!A1" display="&lt;-Volver al inicio" xr:uid="{35E7FB4A-2793-44D2-B54F-EE13DB50BD8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378A15A-551B-4C13-85EE-08ACCCEFDC68}">
          <x14:formula1>
            <xm:f>Valores!$C$2:$C$3</xm:f>
          </x14:formula1>
          <xm:sqref>N7:N11 F7:I11 L7:L11 P7:P11 R8:R11</xm:sqref>
        </x14:dataValidation>
        <x14:dataValidation type="list" allowBlank="1" showInputMessage="1" showErrorMessage="1" xr:uid="{D5A86211-5E03-4941-A40C-30D4963A67C6}">
          <x14:formula1>
            <xm:f>Valores!$D$2:$D$3</xm:f>
          </x14:formula1>
          <xm:sqref>Q7:Q11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5AA7-959B-4FCF-B27E-A607FB5D627E}">
  <dimension ref="A1:T11"/>
  <sheetViews>
    <sheetView topLeftCell="O1" zoomScaleNormal="100" workbookViewId="0">
      <pane ySplit="1" topLeftCell="A7" activePane="bottomLeft" state="frozen"/>
      <selection pane="bottomLeft" activeCell="A12" sqref="A12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46.5703125" style="1" bestFit="1" customWidth="1"/>
    <col min="21" max="16384" width="19.7109375" style="1"/>
  </cols>
  <sheetData>
    <row r="1" spans="1:20">
      <c r="A1" s="18" t="s">
        <v>20</v>
      </c>
      <c r="B1" s="18"/>
      <c r="C1" s="18"/>
      <c r="D1" s="18"/>
      <c r="E1" s="18"/>
    </row>
    <row r="2" spans="1:20" ht="13.5" customHeight="1">
      <c r="A2" s="2" t="str">
        <f>Entidades!$A$1</f>
        <v>Entidad</v>
      </c>
      <c r="B2" s="23" t="str">
        <f>Entidades!A7</f>
        <v>Sede</v>
      </c>
      <c r="C2" s="23"/>
      <c r="D2" s="23"/>
      <c r="E2" s="24"/>
    </row>
    <row r="3" spans="1:20">
      <c r="A3" s="3" t="str">
        <f>Entidades!$B$1</f>
        <v>Desripción</v>
      </c>
      <c r="B3" s="25" t="str">
        <f>Entidades!B7</f>
        <v>Entidad que contiene la información de la o las sedes/sucursales que posee el negocio del cliente</v>
      </c>
      <c r="C3" s="25"/>
      <c r="D3" s="25"/>
      <c r="E3" s="26"/>
    </row>
    <row r="4" spans="1:20">
      <c r="A4" s="19" t="s">
        <v>21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</row>
    <row r="5" spans="1:20" s="4" customFormat="1">
      <c r="A5" s="17" t="s">
        <v>22</v>
      </c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17" t="s">
        <v>28</v>
      </c>
      <c r="H5" s="22" t="s">
        <v>29</v>
      </c>
      <c r="I5" s="17" t="s">
        <v>30</v>
      </c>
      <c r="J5" s="17"/>
      <c r="K5" s="17"/>
      <c r="L5" s="17" t="s">
        <v>31</v>
      </c>
      <c r="M5" s="17"/>
      <c r="N5" s="17" t="s">
        <v>32</v>
      </c>
      <c r="O5" s="17"/>
      <c r="P5" s="17" t="s">
        <v>33</v>
      </c>
      <c r="Q5" s="17"/>
      <c r="R5" s="17"/>
      <c r="S5" s="17" t="s">
        <v>34</v>
      </c>
      <c r="T5" s="17" t="s">
        <v>35</v>
      </c>
    </row>
    <row r="6" spans="1:20" s="4" customFormat="1">
      <c r="A6" s="17"/>
      <c r="B6" s="17"/>
      <c r="C6" s="17"/>
      <c r="D6" s="17"/>
      <c r="E6" s="17"/>
      <c r="F6" s="17"/>
      <c r="G6" s="17"/>
      <c r="H6" s="22"/>
      <c r="I6" s="14" t="s">
        <v>36</v>
      </c>
      <c r="J6" s="14" t="s">
        <v>0</v>
      </c>
      <c r="K6" s="14" t="s">
        <v>37</v>
      </c>
      <c r="L6" s="14" t="s">
        <v>38</v>
      </c>
      <c r="M6" s="14" t="s">
        <v>39</v>
      </c>
      <c r="N6" s="14" t="s">
        <v>40</v>
      </c>
      <c r="O6" s="14" t="s">
        <v>41</v>
      </c>
      <c r="P6" s="14" t="s">
        <v>42</v>
      </c>
      <c r="Q6" s="14" t="s">
        <v>43</v>
      </c>
      <c r="R6" s="14" t="s">
        <v>44</v>
      </c>
      <c r="S6" s="17"/>
      <c r="T6" s="17"/>
    </row>
    <row r="7" spans="1:20">
      <c r="A7" s="15" t="s">
        <v>119</v>
      </c>
      <c r="B7" s="15" t="s">
        <v>46</v>
      </c>
      <c r="C7" s="15" t="s">
        <v>47</v>
      </c>
      <c r="D7" s="15" t="s">
        <v>47</v>
      </c>
      <c r="E7" s="15" t="s">
        <v>47</v>
      </c>
      <c r="F7" s="15" t="s">
        <v>49</v>
      </c>
      <c r="G7" s="15" t="s">
        <v>49</v>
      </c>
      <c r="H7" s="15" t="s">
        <v>49</v>
      </c>
      <c r="I7" s="15" t="s">
        <v>48</v>
      </c>
      <c r="J7" s="15"/>
      <c r="K7" s="15"/>
      <c r="L7" s="15" t="s">
        <v>48</v>
      </c>
      <c r="M7" s="15"/>
      <c r="N7" s="15" t="s">
        <v>48</v>
      </c>
      <c r="O7" s="15"/>
      <c r="P7" s="15" t="s">
        <v>49</v>
      </c>
      <c r="Q7" s="15" t="s">
        <v>51</v>
      </c>
      <c r="R7" s="15" t="s">
        <v>120</v>
      </c>
      <c r="S7" s="15"/>
      <c r="T7" s="15" t="s">
        <v>121</v>
      </c>
    </row>
    <row r="8" spans="1:20">
      <c r="A8" s="15" t="s">
        <v>53</v>
      </c>
      <c r="B8" s="15" t="s">
        <v>54</v>
      </c>
      <c r="C8" s="15">
        <v>50</v>
      </c>
      <c r="D8" s="15" t="s">
        <v>47</v>
      </c>
      <c r="E8" s="15" t="s">
        <v>47</v>
      </c>
      <c r="F8" s="15" t="s">
        <v>48</v>
      </c>
      <c r="G8" s="15" t="s">
        <v>49</v>
      </c>
      <c r="H8" s="15" t="s">
        <v>48</v>
      </c>
      <c r="I8" s="15" t="s">
        <v>48</v>
      </c>
      <c r="J8" s="15"/>
      <c r="K8" s="15"/>
      <c r="L8" s="15" t="s">
        <v>49</v>
      </c>
      <c r="M8" s="15" t="s">
        <v>122</v>
      </c>
      <c r="N8" s="15" t="s">
        <v>48</v>
      </c>
      <c r="O8" s="15"/>
      <c r="P8" s="15" t="s">
        <v>48</v>
      </c>
      <c r="Q8" s="15"/>
      <c r="R8" s="15" t="s">
        <v>48</v>
      </c>
      <c r="S8" s="15"/>
      <c r="T8" s="15" t="s">
        <v>123</v>
      </c>
    </row>
    <row r="9" spans="1:20">
      <c r="A9" s="15" t="s">
        <v>115</v>
      </c>
      <c r="B9" s="15" t="s">
        <v>54</v>
      </c>
      <c r="C9" s="15">
        <v>50</v>
      </c>
      <c r="D9" s="15" t="s">
        <v>47</v>
      </c>
      <c r="E9" s="15" t="s">
        <v>47</v>
      </c>
      <c r="F9" s="15" t="s">
        <v>48</v>
      </c>
      <c r="G9" s="15" t="s">
        <v>49</v>
      </c>
      <c r="H9" s="15" t="s">
        <v>48</v>
      </c>
      <c r="I9" s="15" t="s">
        <v>48</v>
      </c>
      <c r="J9" s="15"/>
      <c r="K9" s="15"/>
      <c r="L9" s="15" t="s">
        <v>48</v>
      </c>
      <c r="M9" s="15"/>
      <c r="N9" s="15" t="s">
        <v>48</v>
      </c>
      <c r="O9" s="15"/>
      <c r="P9" s="15" t="s">
        <v>48</v>
      </c>
      <c r="Q9" s="15"/>
      <c r="R9" s="15" t="s">
        <v>48</v>
      </c>
      <c r="S9" s="15"/>
      <c r="T9" s="15" t="s">
        <v>124</v>
      </c>
    </row>
    <row r="10" spans="1:20">
      <c r="A10" s="15" t="s">
        <v>125</v>
      </c>
      <c r="B10" s="15" t="s">
        <v>46</v>
      </c>
      <c r="C10" s="15" t="s">
        <v>47</v>
      </c>
      <c r="D10" s="15" t="s">
        <v>47</v>
      </c>
      <c r="E10" s="15" t="s">
        <v>47</v>
      </c>
      <c r="F10" s="15" t="s">
        <v>48</v>
      </c>
      <c r="G10" s="15" t="s">
        <v>49</v>
      </c>
      <c r="H10" s="15" t="s">
        <v>48</v>
      </c>
      <c r="I10" s="15" t="s">
        <v>49</v>
      </c>
      <c r="J10" s="15" t="s">
        <v>10</v>
      </c>
      <c r="K10" s="15" t="s">
        <v>108</v>
      </c>
      <c r="L10" s="15" t="s">
        <v>48</v>
      </c>
      <c r="M10" s="15"/>
      <c r="N10" s="15" t="s">
        <v>48</v>
      </c>
      <c r="O10" s="15"/>
      <c r="P10" s="15" t="s">
        <v>48</v>
      </c>
      <c r="Q10" s="15"/>
      <c r="R10" s="15" t="s">
        <v>48</v>
      </c>
      <c r="S10" s="15"/>
      <c r="T10" s="15" t="s">
        <v>126</v>
      </c>
    </row>
    <row r="11" spans="1:20">
      <c r="A11" s="15" t="s">
        <v>127</v>
      </c>
      <c r="B11" s="15" t="s">
        <v>46</v>
      </c>
      <c r="C11" s="15" t="s">
        <v>47</v>
      </c>
      <c r="D11" s="15" t="s">
        <v>47</v>
      </c>
      <c r="E11" s="15" t="s">
        <v>47</v>
      </c>
      <c r="F11" s="15" t="s">
        <v>48</v>
      </c>
      <c r="G11" s="15" t="s">
        <v>49</v>
      </c>
      <c r="H11" s="15" t="s">
        <v>48</v>
      </c>
      <c r="I11" s="15" t="s">
        <v>49</v>
      </c>
      <c r="J11" s="15" t="s">
        <v>4</v>
      </c>
      <c r="K11" s="15" t="s">
        <v>128</v>
      </c>
      <c r="L11" s="15" t="s">
        <v>48</v>
      </c>
      <c r="M11" s="15"/>
      <c r="N11" s="15" t="s">
        <v>48</v>
      </c>
      <c r="O11" s="15"/>
      <c r="P11" s="15" t="s">
        <v>48</v>
      </c>
      <c r="Q11" s="15"/>
      <c r="R11" s="15" t="s">
        <v>48</v>
      </c>
      <c r="S11" s="15"/>
      <c r="T11" s="15" t="s">
        <v>129</v>
      </c>
    </row>
  </sheetData>
  <mergeCells count="18">
    <mergeCell ref="G5:G6"/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</mergeCells>
  <hyperlinks>
    <hyperlink ref="A1:E1" location="Clases!A1" display="&lt;-Volver al inicio" xr:uid="{DFCD3E80-CC9B-40BF-8139-8D34DB51887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A2EE815-F167-44A8-9F17-80451869E828}">
          <x14:formula1>
            <xm:f>Valores!$D$2:$D$3</xm:f>
          </x14:formula1>
          <xm:sqref>Q7:Q11</xm:sqref>
        </x14:dataValidation>
        <x14:dataValidation type="list" allowBlank="1" showInputMessage="1" showErrorMessage="1" xr:uid="{2DCC5458-979F-47B4-9264-A407A35CA891}">
          <x14:formula1>
            <xm:f>Valores!$C$2:$C$3</xm:f>
          </x14:formula1>
          <xm:sqref>N7:N11 F7:I11 L7:L11 P7:P11 R8:R11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7756-89E0-463F-8FBF-BE46A89C028E}">
  <dimension ref="A1:T12"/>
  <sheetViews>
    <sheetView topLeftCell="O1" zoomScaleNormal="100" workbookViewId="0">
      <pane ySplit="1" topLeftCell="A2" activePane="bottomLeft" state="frozen"/>
      <selection pane="bottomLeft" activeCell="K12" sqref="K12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59.5703125" style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1.28515625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54.85546875" style="1" bestFit="1" customWidth="1"/>
    <col min="21" max="16384" width="19.7109375" style="1"/>
  </cols>
  <sheetData>
    <row r="1" spans="1:20">
      <c r="A1" s="18" t="s">
        <v>20</v>
      </c>
      <c r="B1" s="18"/>
      <c r="C1" s="18"/>
      <c r="D1" s="18"/>
      <c r="E1" s="18"/>
    </row>
    <row r="2" spans="1:20" ht="13.5" customHeight="1">
      <c r="A2" s="2" t="str">
        <f>Entidades!$A$1</f>
        <v>Entidad</v>
      </c>
      <c r="B2" s="23" t="str">
        <f>Entidades!A8</f>
        <v>Solicitud de Cotizacion</v>
      </c>
      <c r="C2" s="23"/>
      <c r="D2" s="23"/>
      <c r="E2" s="24"/>
    </row>
    <row r="3" spans="1:20">
      <c r="A3" s="3" t="str">
        <f>Entidades!$B$1</f>
        <v>Desripción</v>
      </c>
      <c r="B3" s="25" t="str">
        <f>Entidades!B8</f>
        <v>Entidad que contiene la información del documento que diligencia el cliente solicitando la cotización de ciertos productos a los proveedores</v>
      </c>
      <c r="C3" s="25"/>
      <c r="D3" s="25"/>
      <c r="E3" s="26"/>
    </row>
    <row r="4" spans="1:20">
      <c r="A4" s="19" t="s">
        <v>21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</row>
    <row r="5" spans="1:20" s="4" customFormat="1">
      <c r="A5" s="27" t="s">
        <v>22</v>
      </c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17" t="s">
        <v>28</v>
      </c>
      <c r="H5" s="22" t="s">
        <v>29</v>
      </c>
      <c r="I5" s="17" t="s">
        <v>30</v>
      </c>
      <c r="J5" s="17"/>
      <c r="K5" s="17"/>
      <c r="L5" s="17" t="s">
        <v>31</v>
      </c>
      <c r="M5" s="17"/>
      <c r="N5" s="17" t="s">
        <v>32</v>
      </c>
      <c r="O5" s="17"/>
      <c r="P5" s="17" t="s">
        <v>33</v>
      </c>
      <c r="Q5" s="17"/>
      <c r="R5" s="17"/>
      <c r="S5" s="17" t="s">
        <v>34</v>
      </c>
      <c r="T5" s="17" t="s">
        <v>35</v>
      </c>
    </row>
    <row r="6" spans="1:20" s="4" customFormat="1">
      <c r="A6" s="28"/>
      <c r="B6" s="17"/>
      <c r="C6" s="17"/>
      <c r="D6" s="17"/>
      <c r="E6" s="17"/>
      <c r="F6" s="17"/>
      <c r="G6" s="17"/>
      <c r="H6" s="22"/>
      <c r="I6" s="14" t="s">
        <v>36</v>
      </c>
      <c r="J6" s="14" t="s">
        <v>0</v>
      </c>
      <c r="K6" s="14" t="s">
        <v>37</v>
      </c>
      <c r="L6" s="14" t="s">
        <v>38</v>
      </c>
      <c r="M6" s="14" t="s">
        <v>39</v>
      </c>
      <c r="N6" s="14" t="s">
        <v>40</v>
      </c>
      <c r="O6" s="14" t="s">
        <v>41</v>
      </c>
      <c r="P6" s="14" t="s">
        <v>42</v>
      </c>
      <c r="Q6" s="14" t="s">
        <v>43</v>
      </c>
      <c r="R6" s="14" t="s">
        <v>44</v>
      </c>
      <c r="S6" s="17"/>
      <c r="T6" s="17"/>
    </row>
    <row r="7" spans="1:20">
      <c r="A7" s="16" t="s">
        <v>119</v>
      </c>
      <c r="B7" s="15" t="s">
        <v>46</v>
      </c>
      <c r="C7" s="15" t="s">
        <v>47</v>
      </c>
      <c r="D7" s="15" t="s">
        <v>47</v>
      </c>
      <c r="E7" s="15" t="s">
        <v>47</v>
      </c>
      <c r="F7" s="15" t="s">
        <v>49</v>
      </c>
      <c r="G7" s="15" t="s">
        <v>49</v>
      </c>
      <c r="H7" s="15" t="s">
        <v>49</v>
      </c>
      <c r="I7" s="15" t="s">
        <v>48</v>
      </c>
      <c r="J7" s="15"/>
      <c r="K7" s="15"/>
      <c r="L7" s="15" t="s">
        <v>48</v>
      </c>
      <c r="M7" s="15"/>
      <c r="N7" s="15" t="s">
        <v>48</v>
      </c>
      <c r="O7" s="15"/>
      <c r="P7" s="15" t="s">
        <v>49</v>
      </c>
      <c r="Q7" s="15" t="s">
        <v>51</v>
      </c>
      <c r="R7" s="15" t="s">
        <v>130</v>
      </c>
      <c r="S7" s="15"/>
      <c r="T7" s="15" t="s">
        <v>131</v>
      </c>
    </row>
    <row r="8" spans="1:20">
      <c r="A8" s="16" t="s">
        <v>132</v>
      </c>
      <c r="B8" s="15" t="s">
        <v>133</v>
      </c>
      <c r="C8" s="15" t="s">
        <v>47</v>
      </c>
      <c r="D8" s="15" t="s">
        <v>47</v>
      </c>
      <c r="E8" s="15" t="s">
        <v>47</v>
      </c>
      <c r="F8" s="15" t="s">
        <v>48</v>
      </c>
      <c r="G8" s="15" t="s">
        <v>49</v>
      </c>
      <c r="H8" s="15" t="s">
        <v>48</v>
      </c>
      <c r="I8" s="15" t="s">
        <v>48</v>
      </c>
      <c r="J8" s="15"/>
      <c r="K8" s="15"/>
      <c r="L8" s="15" t="s">
        <v>48</v>
      </c>
      <c r="M8" s="15"/>
      <c r="N8" s="15" t="s">
        <v>48</v>
      </c>
      <c r="O8" s="15"/>
      <c r="P8" s="15" t="s">
        <v>48</v>
      </c>
      <c r="Q8" s="15"/>
      <c r="R8" s="15" t="s">
        <v>48</v>
      </c>
      <c r="S8" s="15"/>
      <c r="T8" s="15" t="s">
        <v>134</v>
      </c>
    </row>
    <row r="9" spans="1:20">
      <c r="A9" s="16" t="s">
        <v>135</v>
      </c>
      <c r="B9" s="15" t="s">
        <v>133</v>
      </c>
      <c r="C9" s="15" t="s">
        <v>47</v>
      </c>
      <c r="D9" s="15" t="s">
        <v>47</v>
      </c>
      <c r="E9" s="15" t="s">
        <v>47</v>
      </c>
      <c r="F9" s="15" t="s">
        <v>48</v>
      </c>
      <c r="G9" s="15" t="s">
        <v>49</v>
      </c>
      <c r="H9" s="15" t="s">
        <v>48</v>
      </c>
      <c r="I9" s="15" t="s">
        <v>48</v>
      </c>
      <c r="J9" s="15"/>
      <c r="K9" s="15"/>
      <c r="L9" s="15" t="s">
        <v>48</v>
      </c>
      <c r="M9" s="15"/>
      <c r="N9" s="15" t="s">
        <v>48</v>
      </c>
      <c r="O9" s="15"/>
      <c r="P9" s="15" t="s">
        <v>48</v>
      </c>
      <c r="Q9" s="15"/>
      <c r="R9" s="15" t="s">
        <v>48</v>
      </c>
      <c r="S9" s="15"/>
      <c r="T9" s="15" t="s">
        <v>136</v>
      </c>
    </row>
    <row r="10" spans="1:20">
      <c r="A10" s="16" t="s">
        <v>137</v>
      </c>
      <c r="B10" s="15" t="s">
        <v>54</v>
      </c>
      <c r="C10" s="15">
        <v>20</v>
      </c>
      <c r="D10" s="15" t="s">
        <v>47</v>
      </c>
      <c r="E10" s="15" t="s">
        <v>47</v>
      </c>
      <c r="F10" s="15" t="s">
        <v>48</v>
      </c>
      <c r="G10" s="15" t="s">
        <v>49</v>
      </c>
      <c r="H10" s="15" t="s">
        <v>48</v>
      </c>
      <c r="I10" s="15" t="s">
        <v>48</v>
      </c>
      <c r="J10" s="15"/>
      <c r="K10" s="15"/>
      <c r="L10" s="15" t="s">
        <v>48</v>
      </c>
      <c r="M10" s="15"/>
      <c r="N10" s="15" t="s">
        <v>49</v>
      </c>
      <c r="O10" s="15" t="s">
        <v>138</v>
      </c>
      <c r="P10" s="15" t="s">
        <v>48</v>
      </c>
      <c r="Q10" s="15"/>
      <c r="R10" s="15" t="s">
        <v>48</v>
      </c>
      <c r="S10" s="15"/>
      <c r="T10" s="15" t="s">
        <v>139</v>
      </c>
    </row>
    <row r="11" spans="1:20">
      <c r="A11" s="16" t="s">
        <v>98</v>
      </c>
      <c r="B11" s="15" t="s">
        <v>46</v>
      </c>
      <c r="C11" s="15" t="s">
        <v>47</v>
      </c>
      <c r="D11" s="15" t="s">
        <v>47</v>
      </c>
      <c r="E11" s="15" t="s">
        <v>47</v>
      </c>
      <c r="F11" s="15" t="s">
        <v>48</v>
      </c>
      <c r="G11" s="15" t="s">
        <v>49</v>
      </c>
      <c r="H11" s="15" t="s">
        <v>48</v>
      </c>
      <c r="I11" s="15" t="s">
        <v>49</v>
      </c>
      <c r="J11" s="15" t="s">
        <v>6</v>
      </c>
      <c r="K11" s="15" t="s">
        <v>94</v>
      </c>
      <c r="L11" s="15" t="s">
        <v>48</v>
      </c>
      <c r="M11" s="15"/>
      <c r="N11" s="15" t="s">
        <v>48</v>
      </c>
      <c r="O11" s="15"/>
      <c r="P11" s="15" t="s">
        <v>48</v>
      </c>
      <c r="Q11" s="15"/>
      <c r="R11" s="15" t="s">
        <v>48</v>
      </c>
      <c r="S11" s="15"/>
      <c r="T11" s="15" t="s">
        <v>140</v>
      </c>
    </row>
    <row r="12" spans="1:20">
      <c r="A12" s="16" t="s">
        <v>141</v>
      </c>
      <c r="B12" s="15" t="s">
        <v>46</v>
      </c>
      <c r="C12" s="15" t="s">
        <v>47</v>
      </c>
      <c r="D12" s="15" t="s">
        <v>47</v>
      </c>
      <c r="E12" s="15" t="s">
        <v>47</v>
      </c>
      <c r="F12" s="15" t="s">
        <v>48</v>
      </c>
      <c r="G12" s="15" t="s">
        <v>49</v>
      </c>
      <c r="H12" s="15" t="s">
        <v>48</v>
      </c>
      <c r="I12" s="15" t="s">
        <v>49</v>
      </c>
      <c r="J12" s="15" t="s">
        <v>12</v>
      </c>
      <c r="K12" s="15" t="s">
        <v>119</v>
      </c>
      <c r="L12" s="15" t="s">
        <v>48</v>
      </c>
      <c r="M12" s="15"/>
      <c r="N12" s="15" t="s">
        <v>48</v>
      </c>
      <c r="O12" s="15"/>
      <c r="P12" s="15" t="s">
        <v>48</v>
      </c>
      <c r="Q12" s="15"/>
      <c r="R12" s="15" t="s">
        <v>48</v>
      </c>
      <c r="S12" s="15"/>
      <c r="T12" s="15" t="s">
        <v>142</v>
      </c>
    </row>
  </sheetData>
  <mergeCells count="18">
    <mergeCell ref="G5:G6"/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</mergeCells>
  <hyperlinks>
    <hyperlink ref="A1:E1" location="Clases!A1" display="&lt;-Volver al inicio" xr:uid="{ECC1C620-46F4-42E9-82C0-2BB03750EF3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BFBD7C6-1117-435F-8517-2E6C0385E28F}">
          <x14:formula1>
            <xm:f>Valores!$C$2:$C$3</xm:f>
          </x14:formula1>
          <xm:sqref>N7:N12 F7:I12 L7:L12 P7:P12 R8:R12</xm:sqref>
        </x14:dataValidation>
        <x14:dataValidation type="list" allowBlank="1" showInputMessage="1" showErrorMessage="1" xr:uid="{44D85C4F-2651-4D65-BA8B-CA701B777CBF}">
          <x14:formula1>
            <xm:f>Valores!$D$2:$D$3</xm:f>
          </x14:formula1>
          <xm:sqref>Q7:Q12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AAED-3440-441C-8C50-5FB04B250FB6}">
  <dimension ref="A1:T11"/>
  <sheetViews>
    <sheetView topLeftCell="O1" zoomScaleNormal="100" workbookViewId="0">
      <pane ySplit="1" topLeftCell="A2" activePane="bottomLeft" state="frozen"/>
      <selection pane="bottomLeft" activeCell="C7" sqref="C7"/>
    </sheetView>
  </sheetViews>
  <sheetFormatPr defaultColWidth="19.7109375" defaultRowHeight="15"/>
  <cols>
    <col min="1" max="1" width="15.71093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52.140625" style="1" bestFit="1" customWidth="1"/>
    <col min="21" max="16384" width="19.7109375" style="1"/>
  </cols>
  <sheetData>
    <row r="1" spans="1:20">
      <c r="A1" s="18" t="s">
        <v>20</v>
      </c>
      <c r="B1" s="18"/>
      <c r="C1" s="18"/>
      <c r="D1" s="18"/>
      <c r="E1" s="18"/>
    </row>
    <row r="2" spans="1:20" ht="13.5" customHeight="1">
      <c r="A2" s="2" t="str">
        <f>Entidades!$A$1</f>
        <v>Entidad</v>
      </c>
      <c r="B2" s="23" t="str">
        <f>Entidades!A9</f>
        <v>Producto</v>
      </c>
      <c r="C2" s="23"/>
      <c r="D2" s="23"/>
      <c r="E2" s="24"/>
    </row>
    <row r="3" spans="1:20">
      <c r="A3" s="3" t="str">
        <f>Entidades!$B$1</f>
        <v>Desripción</v>
      </c>
      <c r="B3" s="25" t="str">
        <f>Entidades!B9</f>
        <v>Entidad que contiene la información del producto que se crea en la solicitud de cotización</v>
      </c>
      <c r="C3" s="25"/>
      <c r="D3" s="25"/>
      <c r="E3" s="26"/>
    </row>
    <row r="4" spans="1:20">
      <c r="A4" s="19" t="s">
        <v>21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</row>
    <row r="5" spans="1:20" s="4" customFormat="1">
      <c r="A5" s="17" t="s">
        <v>22</v>
      </c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17" t="s">
        <v>28</v>
      </c>
      <c r="H5" s="22" t="s">
        <v>29</v>
      </c>
      <c r="I5" s="17" t="s">
        <v>30</v>
      </c>
      <c r="J5" s="17"/>
      <c r="K5" s="17"/>
      <c r="L5" s="17" t="s">
        <v>31</v>
      </c>
      <c r="M5" s="17"/>
      <c r="N5" s="17" t="s">
        <v>32</v>
      </c>
      <c r="O5" s="17"/>
      <c r="P5" s="17" t="s">
        <v>33</v>
      </c>
      <c r="Q5" s="17"/>
      <c r="R5" s="17"/>
      <c r="S5" s="17" t="s">
        <v>34</v>
      </c>
      <c r="T5" s="17" t="s">
        <v>35</v>
      </c>
    </row>
    <row r="6" spans="1:20" s="4" customFormat="1">
      <c r="A6" s="17"/>
      <c r="B6" s="17"/>
      <c r="C6" s="17"/>
      <c r="D6" s="17"/>
      <c r="E6" s="17"/>
      <c r="F6" s="17"/>
      <c r="G6" s="17"/>
      <c r="H6" s="22"/>
      <c r="I6" s="14" t="s">
        <v>36</v>
      </c>
      <c r="J6" s="14" t="s">
        <v>0</v>
      </c>
      <c r="K6" s="14" t="s">
        <v>37</v>
      </c>
      <c r="L6" s="14" t="s">
        <v>38</v>
      </c>
      <c r="M6" s="14" t="s">
        <v>39</v>
      </c>
      <c r="N6" s="14" t="s">
        <v>40</v>
      </c>
      <c r="O6" s="14" t="s">
        <v>41</v>
      </c>
      <c r="P6" s="14" t="s">
        <v>42</v>
      </c>
      <c r="Q6" s="14" t="s">
        <v>43</v>
      </c>
      <c r="R6" s="14" t="s">
        <v>44</v>
      </c>
      <c r="S6" s="17"/>
      <c r="T6" s="17"/>
    </row>
    <row r="7" spans="1:20">
      <c r="A7" s="15" t="s">
        <v>119</v>
      </c>
      <c r="B7" s="15" t="s">
        <v>46</v>
      </c>
      <c r="C7" s="15" t="s">
        <v>47</v>
      </c>
      <c r="D7" s="15" t="s">
        <v>47</v>
      </c>
      <c r="E7" s="15" t="s">
        <v>47</v>
      </c>
      <c r="F7" s="15" t="s">
        <v>49</v>
      </c>
      <c r="G7" s="15" t="s">
        <v>49</v>
      </c>
      <c r="H7" s="15" t="s">
        <v>49</v>
      </c>
      <c r="I7" s="15" t="s">
        <v>48</v>
      </c>
      <c r="J7" s="15"/>
      <c r="K7" s="15"/>
      <c r="L7" s="15" t="s">
        <v>48</v>
      </c>
      <c r="M7" s="15"/>
      <c r="N7" s="15" t="s">
        <v>48</v>
      </c>
      <c r="O7" s="15"/>
      <c r="P7" s="15" t="s">
        <v>49</v>
      </c>
      <c r="Q7" s="15" t="s">
        <v>51</v>
      </c>
      <c r="R7" s="15" t="s">
        <v>143</v>
      </c>
      <c r="S7" s="15"/>
      <c r="T7" s="15" t="s">
        <v>144</v>
      </c>
    </row>
    <row r="8" spans="1:20">
      <c r="A8" s="15" t="s">
        <v>53</v>
      </c>
      <c r="B8" s="15" t="s">
        <v>54</v>
      </c>
      <c r="C8" s="15">
        <v>50</v>
      </c>
      <c r="D8" s="15" t="s">
        <v>47</v>
      </c>
      <c r="E8" s="15" t="s">
        <v>47</v>
      </c>
      <c r="F8" s="15" t="s">
        <v>48</v>
      </c>
      <c r="G8" s="15" t="s">
        <v>49</v>
      </c>
      <c r="H8" s="15" t="s">
        <v>48</v>
      </c>
      <c r="I8" s="15" t="s">
        <v>48</v>
      </c>
      <c r="J8" s="15"/>
      <c r="K8" s="15"/>
      <c r="L8" s="15" t="s">
        <v>49</v>
      </c>
      <c r="M8" s="15" t="s">
        <v>145</v>
      </c>
      <c r="N8" s="15" t="s">
        <v>48</v>
      </c>
      <c r="O8" s="15"/>
      <c r="P8" s="15" t="s">
        <v>49</v>
      </c>
      <c r="Q8" s="15" t="s">
        <v>51</v>
      </c>
      <c r="R8" s="15" t="s">
        <v>146</v>
      </c>
      <c r="S8" s="15"/>
      <c r="T8" s="15" t="s">
        <v>147</v>
      </c>
    </row>
    <row r="9" spans="1:20">
      <c r="A9" s="15" t="s">
        <v>148</v>
      </c>
      <c r="B9" s="15" t="s">
        <v>46</v>
      </c>
      <c r="C9" s="15" t="s">
        <v>47</v>
      </c>
      <c r="D9" s="15" t="s">
        <v>47</v>
      </c>
      <c r="E9" s="15" t="s">
        <v>47</v>
      </c>
      <c r="F9" s="15" t="s">
        <v>48</v>
      </c>
      <c r="G9" s="15" t="s">
        <v>49</v>
      </c>
      <c r="H9" s="15" t="s">
        <v>48</v>
      </c>
      <c r="I9" s="15" t="s">
        <v>48</v>
      </c>
      <c r="J9" s="15"/>
      <c r="K9" s="15"/>
      <c r="L9" s="15" t="s">
        <v>48</v>
      </c>
      <c r="M9" s="15"/>
      <c r="N9" s="15" t="s">
        <v>49</v>
      </c>
      <c r="O9" s="15" t="s">
        <v>149</v>
      </c>
      <c r="P9" s="15" t="s">
        <v>48</v>
      </c>
      <c r="Q9" s="15"/>
      <c r="R9" s="15" t="s">
        <v>48</v>
      </c>
      <c r="S9" s="15"/>
      <c r="T9" s="15" t="s">
        <v>150</v>
      </c>
    </row>
    <row r="10" spans="1:20">
      <c r="A10" s="15" t="s">
        <v>151</v>
      </c>
      <c r="B10" s="15" t="s">
        <v>54</v>
      </c>
      <c r="C10" s="15">
        <v>50</v>
      </c>
      <c r="D10" s="15" t="s">
        <v>47</v>
      </c>
      <c r="E10" s="15" t="s">
        <v>47</v>
      </c>
      <c r="F10" s="15" t="s">
        <v>48</v>
      </c>
      <c r="G10" s="15" t="s">
        <v>49</v>
      </c>
      <c r="H10" s="15" t="s">
        <v>48</v>
      </c>
      <c r="I10" s="15" t="s">
        <v>48</v>
      </c>
      <c r="J10" s="15"/>
      <c r="K10" s="15"/>
      <c r="L10" s="15" t="s">
        <v>48</v>
      </c>
      <c r="M10" s="15"/>
      <c r="N10" s="15" t="s">
        <v>48</v>
      </c>
      <c r="O10" s="15"/>
      <c r="P10" s="15" t="s">
        <v>48</v>
      </c>
      <c r="Q10" s="15"/>
      <c r="R10" s="15"/>
      <c r="S10" s="15"/>
      <c r="T10" s="15" t="s">
        <v>152</v>
      </c>
    </row>
    <row r="11" spans="1:20">
      <c r="A11" s="15" t="s">
        <v>113</v>
      </c>
      <c r="B11" s="15" t="s">
        <v>54</v>
      </c>
      <c r="C11" s="15">
        <v>200</v>
      </c>
      <c r="D11" s="15" t="s">
        <v>47</v>
      </c>
      <c r="E11" s="15" t="s">
        <v>47</v>
      </c>
      <c r="F11" s="15" t="s">
        <v>48</v>
      </c>
      <c r="G11" s="15" t="s">
        <v>48</v>
      </c>
      <c r="H11" s="15" t="s">
        <v>48</v>
      </c>
      <c r="I11" s="15" t="s">
        <v>48</v>
      </c>
      <c r="J11" s="15"/>
      <c r="K11" s="15"/>
      <c r="L11" s="15" t="s">
        <v>48</v>
      </c>
      <c r="M11" s="15"/>
      <c r="N11" s="15" t="s">
        <v>48</v>
      </c>
      <c r="O11" s="15"/>
      <c r="P11" s="15" t="s">
        <v>48</v>
      </c>
      <c r="Q11" s="15"/>
      <c r="R11" s="15"/>
      <c r="S11" s="15"/>
      <c r="T11" s="15" t="s">
        <v>153</v>
      </c>
    </row>
  </sheetData>
  <mergeCells count="18">
    <mergeCell ref="G5:G6"/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</mergeCells>
  <hyperlinks>
    <hyperlink ref="A1:E1" location="Clases!A1" display="&lt;-Volver al inicio" xr:uid="{D0EF66DD-8A16-4441-9913-3F0262AEDA6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279736A-9A09-4208-B16C-C6A0AB3B2F85}">
          <x14:formula1>
            <xm:f>Valores!$C$2:$C$3</xm:f>
          </x14:formula1>
          <xm:sqref>N7:N11 F7:I11 L7:L11 P7:P11 R9:R11</xm:sqref>
        </x14:dataValidation>
        <x14:dataValidation type="list" allowBlank="1" showInputMessage="1" showErrorMessage="1" xr:uid="{2E1C4106-6FC9-4758-926E-D6A5764A21C3}">
          <x14:formula1>
            <xm:f>Valores!$D$2:$D$3</xm:f>
          </x14:formula1>
          <xm:sqref>Q7:Q11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429D-1B10-43E4-A762-EE4E3AFC7A2B}">
  <dimension ref="A1:T12"/>
  <sheetViews>
    <sheetView topLeftCell="O1" zoomScaleNormal="100" workbookViewId="0">
      <pane ySplit="1" topLeftCell="A2" activePane="bottomLeft" state="frozen"/>
      <selection pane="bottomLeft" activeCell="D12" sqref="D12"/>
    </sheetView>
  </sheetViews>
  <sheetFormatPr defaultColWidth="19.7109375" defaultRowHeight="15"/>
  <cols>
    <col min="1" max="1" width="24.85546875" style="1" bestFit="1" customWidth="1"/>
    <col min="2" max="2" width="17.5703125" style="1" bestFit="1" customWidth="1"/>
    <col min="3" max="3" width="12.5703125" style="1" bestFit="1" customWidth="1"/>
    <col min="4" max="4" width="38" style="1" bestFit="1" customWidth="1"/>
    <col min="5" max="5" width="39.5703125" style="1" bestFit="1" customWidth="1"/>
    <col min="6" max="6" width="26.5703125" style="1" bestFit="1" customWidth="1"/>
    <col min="7" max="7" width="22.28515625" style="1" bestFit="1" customWidth="1"/>
    <col min="8" max="8" width="46.5703125" style="1" bestFit="1" customWidth="1"/>
    <col min="9" max="9" width="23.7109375" style="1" bestFit="1" customWidth="1"/>
    <col min="10" max="10" width="19" style="1" bestFit="1" customWidth="1"/>
    <col min="11" max="11" width="15.42578125" style="1" bestFit="1" customWidth="1"/>
    <col min="12" max="12" width="62.7109375" style="1" bestFit="1" customWidth="1"/>
    <col min="13" max="13" width="58.85546875" style="1" bestFit="1" customWidth="1"/>
    <col min="14" max="14" width="62.42578125" style="1" bestFit="1" customWidth="1"/>
    <col min="15" max="15" width="58.5703125" style="1" bestFit="1" customWidth="1"/>
    <col min="16" max="16" width="59.85546875" style="1" bestFit="1" customWidth="1"/>
    <col min="17" max="17" width="7.7109375" style="1" bestFit="1" customWidth="1"/>
    <col min="18" max="18" width="56.28515625" style="1" bestFit="1" customWidth="1"/>
    <col min="19" max="19" width="8.140625" style="1" bestFit="1" customWidth="1"/>
    <col min="20" max="20" width="61.7109375" style="1" bestFit="1" customWidth="1"/>
    <col min="21" max="16384" width="19.7109375" style="1"/>
  </cols>
  <sheetData>
    <row r="1" spans="1:20">
      <c r="A1" s="18" t="s">
        <v>20</v>
      </c>
      <c r="B1" s="18"/>
      <c r="C1" s="18"/>
      <c r="D1" s="18"/>
      <c r="E1" s="18"/>
    </row>
    <row r="2" spans="1:20" ht="13.5" customHeight="1">
      <c r="A2" s="2" t="str">
        <f>Entidades!$A$1</f>
        <v>Entidad</v>
      </c>
      <c r="B2" s="23" t="str">
        <f>Entidades!A10</f>
        <v>Cotizacion</v>
      </c>
      <c r="C2" s="23"/>
      <c r="D2" s="23"/>
      <c r="E2" s="24"/>
    </row>
    <row r="3" spans="1:20">
      <c r="A3" s="3" t="str">
        <f>Entidades!$B$1</f>
        <v>Desripción</v>
      </c>
      <c r="B3" s="25" t="str">
        <f>Entidades!B10</f>
        <v>Entidad que contiene la información de la respuesta que da el proveedor a la solicitud de cotización del cliente</v>
      </c>
      <c r="C3" s="25"/>
      <c r="D3" s="25"/>
      <c r="E3" s="26"/>
    </row>
    <row r="4" spans="1:20">
      <c r="A4" s="19" t="s">
        <v>21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</row>
    <row r="5" spans="1:20" s="4" customFormat="1">
      <c r="A5" s="17" t="s">
        <v>22</v>
      </c>
      <c r="B5" s="17" t="s">
        <v>23</v>
      </c>
      <c r="C5" s="17" t="s">
        <v>24</v>
      </c>
      <c r="D5" s="17" t="s">
        <v>25</v>
      </c>
      <c r="E5" s="17" t="s">
        <v>26</v>
      </c>
      <c r="F5" s="17" t="s">
        <v>27</v>
      </c>
      <c r="G5" s="17" t="s">
        <v>28</v>
      </c>
      <c r="H5" s="22" t="s">
        <v>29</v>
      </c>
      <c r="I5" s="17" t="s">
        <v>30</v>
      </c>
      <c r="J5" s="17"/>
      <c r="K5" s="17"/>
      <c r="L5" s="17" t="s">
        <v>31</v>
      </c>
      <c r="M5" s="17"/>
      <c r="N5" s="17" t="s">
        <v>32</v>
      </c>
      <c r="O5" s="17"/>
      <c r="P5" s="17" t="s">
        <v>33</v>
      </c>
      <c r="Q5" s="17"/>
      <c r="R5" s="17"/>
      <c r="S5" s="17" t="s">
        <v>34</v>
      </c>
      <c r="T5" s="17" t="s">
        <v>35</v>
      </c>
    </row>
    <row r="6" spans="1:20" s="4" customFormat="1">
      <c r="A6" s="17"/>
      <c r="B6" s="17"/>
      <c r="C6" s="17"/>
      <c r="D6" s="17"/>
      <c r="E6" s="17"/>
      <c r="F6" s="17"/>
      <c r="G6" s="17"/>
      <c r="H6" s="22"/>
      <c r="I6" s="14" t="s">
        <v>36</v>
      </c>
      <c r="J6" s="14" t="s">
        <v>0</v>
      </c>
      <c r="K6" s="14" t="s">
        <v>37</v>
      </c>
      <c r="L6" s="14" t="s">
        <v>38</v>
      </c>
      <c r="M6" s="14" t="s">
        <v>39</v>
      </c>
      <c r="N6" s="14" t="s">
        <v>40</v>
      </c>
      <c r="O6" s="14" t="s">
        <v>41</v>
      </c>
      <c r="P6" s="14" t="s">
        <v>42</v>
      </c>
      <c r="Q6" s="14" t="s">
        <v>43</v>
      </c>
      <c r="R6" s="14" t="s">
        <v>44</v>
      </c>
      <c r="S6" s="17"/>
      <c r="T6" s="17"/>
    </row>
    <row r="7" spans="1:20">
      <c r="A7" s="15" t="s">
        <v>119</v>
      </c>
      <c r="B7" s="15" t="s">
        <v>46</v>
      </c>
      <c r="C7" s="15" t="s">
        <v>47</v>
      </c>
      <c r="D7" s="15" t="s">
        <v>47</v>
      </c>
      <c r="E7" s="15" t="s">
        <v>47</v>
      </c>
      <c r="F7" s="15" t="s">
        <v>49</v>
      </c>
      <c r="G7" s="15" t="s">
        <v>49</v>
      </c>
      <c r="H7" s="15" t="s">
        <v>49</v>
      </c>
      <c r="I7" s="15" t="s">
        <v>48</v>
      </c>
      <c r="J7" s="15"/>
      <c r="K7" s="15"/>
      <c r="L7" s="15" t="s">
        <v>48</v>
      </c>
      <c r="M7" s="15"/>
      <c r="N7" s="15" t="s">
        <v>48</v>
      </c>
      <c r="O7" s="15"/>
      <c r="P7" s="15" t="s">
        <v>49</v>
      </c>
      <c r="Q7" s="15" t="s">
        <v>51</v>
      </c>
      <c r="R7" s="15" t="s">
        <v>154</v>
      </c>
      <c r="S7" s="15"/>
      <c r="T7" s="15" t="s">
        <v>155</v>
      </c>
    </row>
    <row r="8" spans="1:20">
      <c r="A8" s="15" t="s">
        <v>156</v>
      </c>
      <c r="B8" s="15" t="s">
        <v>133</v>
      </c>
      <c r="C8" s="15" t="s">
        <v>47</v>
      </c>
      <c r="D8" s="15" t="s">
        <v>47</v>
      </c>
      <c r="E8" s="15" t="s">
        <v>47</v>
      </c>
      <c r="F8" s="15" t="s">
        <v>48</v>
      </c>
      <c r="G8" s="15" t="s">
        <v>49</v>
      </c>
      <c r="H8" s="15" t="s">
        <v>48</v>
      </c>
      <c r="I8" s="15" t="s">
        <v>48</v>
      </c>
      <c r="J8" s="15"/>
      <c r="K8" s="15"/>
      <c r="L8" s="15" t="s">
        <v>48</v>
      </c>
      <c r="M8" s="15"/>
      <c r="N8" s="15" t="s">
        <v>48</v>
      </c>
      <c r="O8" s="15"/>
      <c r="P8" s="15" t="s">
        <v>48</v>
      </c>
      <c r="Q8" s="15"/>
      <c r="R8" s="15" t="s">
        <v>48</v>
      </c>
      <c r="S8" s="15"/>
      <c r="T8" s="15" t="s">
        <v>157</v>
      </c>
    </row>
    <row r="9" spans="1:20">
      <c r="A9" s="15" t="s">
        <v>158</v>
      </c>
      <c r="B9" s="15" t="s">
        <v>133</v>
      </c>
      <c r="C9" s="15" t="s">
        <v>47</v>
      </c>
      <c r="D9" s="15" t="s">
        <v>47</v>
      </c>
      <c r="E9" s="15" t="s">
        <v>47</v>
      </c>
      <c r="F9" s="15" t="s">
        <v>48</v>
      </c>
      <c r="G9" s="15" t="s">
        <v>49</v>
      </c>
      <c r="H9" s="15" t="s">
        <v>48</v>
      </c>
      <c r="I9" s="15" t="s">
        <v>48</v>
      </c>
      <c r="J9" s="15"/>
      <c r="K9" s="15"/>
      <c r="L9" s="15" t="s">
        <v>48</v>
      </c>
      <c r="M9" s="15"/>
      <c r="N9" s="15" t="s">
        <v>48</v>
      </c>
      <c r="O9" s="15"/>
      <c r="P9" s="15" t="s">
        <v>48</v>
      </c>
      <c r="Q9" s="15"/>
      <c r="R9" s="15" t="s">
        <v>48</v>
      </c>
      <c r="S9" s="15"/>
      <c r="T9" s="15" t="s">
        <v>159</v>
      </c>
    </row>
    <row r="10" spans="1:20">
      <c r="A10" s="15" t="s">
        <v>113</v>
      </c>
      <c r="B10" s="15" t="s">
        <v>54</v>
      </c>
      <c r="C10" s="15">
        <v>200</v>
      </c>
      <c r="D10" s="15" t="s">
        <v>47</v>
      </c>
      <c r="E10" s="15" t="s">
        <v>47</v>
      </c>
      <c r="F10" s="15" t="s">
        <v>48</v>
      </c>
      <c r="G10" s="15" t="s">
        <v>48</v>
      </c>
      <c r="H10" s="15" t="s">
        <v>48</v>
      </c>
      <c r="I10" s="15" t="s">
        <v>48</v>
      </c>
      <c r="J10" s="15"/>
      <c r="K10" s="15"/>
      <c r="L10" s="15" t="s">
        <v>48</v>
      </c>
      <c r="M10" s="15"/>
      <c r="N10" s="15" t="s">
        <v>48</v>
      </c>
      <c r="O10" s="15"/>
      <c r="P10" s="15" t="s">
        <v>48</v>
      </c>
      <c r="Q10" s="15"/>
      <c r="R10" s="15"/>
      <c r="S10" s="15"/>
      <c r="T10" s="15" t="s">
        <v>160</v>
      </c>
    </row>
    <row r="11" spans="1:20">
      <c r="A11" s="15" t="s">
        <v>161</v>
      </c>
      <c r="B11" s="15" t="s">
        <v>54</v>
      </c>
      <c r="C11" s="15">
        <v>50</v>
      </c>
      <c r="D11" s="15" t="s">
        <v>47</v>
      </c>
      <c r="E11" s="15" t="s">
        <v>47</v>
      </c>
      <c r="F11" s="15" t="s">
        <v>48</v>
      </c>
      <c r="G11" s="15" t="s">
        <v>49</v>
      </c>
      <c r="H11" s="15" t="s">
        <v>48</v>
      </c>
      <c r="I11" s="15" t="s">
        <v>48</v>
      </c>
      <c r="J11" s="15"/>
      <c r="K11" s="15"/>
      <c r="L11" s="15" t="s">
        <v>48</v>
      </c>
      <c r="M11" s="15"/>
      <c r="N11" s="15" t="s">
        <v>48</v>
      </c>
      <c r="O11" s="15"/>
      <c r="P11" s="15" t="s">
        <v>48</v>
      </c>
      <c r="Q11" s="15"/>
      <c r="R11" s="15"/>
      <c r="S11" s="15"/>
      <c r="T11" s="15" t="s">
        <v>162</v>
      </c>
    </row>
    <row r="12" spans="1:20">
      <c r="A12" s="15" t="s">
        <v>163</v>
      </c>
      <c r="B12" s="15" t="s">
        <v>46</v>
      </c>
      <c r="C12" s="15" t="s">
        <v>47</v>
      </c>
      <c r="D12" s="15" t="s">
        <v>47</v>
      </c>
      <c r="E12" s="15" t="s">
        <v>47</v>
      </c>
      <c r="F12" s="15" t="s">
        <v>48</v>
      </c>
      <c r="G12" s="15" t="s">
        <v>49</v>
      </c>
      <c r="H12" s="15" t="s">
        <v>48</v>
      </c>
      <c r="I12" s="15" t="s">
        <v>49</v>
      </c>
      <c r="J12" s="15" t="s">
        <v>164</v>
      </c>
      <c r="K12" s="15" t="s">
        <v>119</v>
      </c>
      <c r="L12" s="15" t="s">
        <v>48</v>
      </c>
      <c r="M12" s="15"/>
      <c r="N12" s="15" t="s">
        <v>48</v>
      </c>
      <c r="O12" s="15"/>
      <c r="P12" s="15" t="s">
        <v>48</v>
      </c>
      <c r="Q12" s="15"/>
      <c r="R12" s="15" t="s">
        <v>48</v>
      </c>
      <c r="S12" s="15"/>
      <c r="T12" s="15" t="s">
        <v>165</v>
      </c>
    </row>
  </sheetData>
  <mergeCells count="18">
    <mergeCell ref="G5:G6"/>
    <mergeCell ref="H5:H6"/>
    <mergeCell ref="I5:K5"/>
    <mergeCell ref="L5:M5"/>
    <mergeCell ref="N5:O5"/>
    <mergeCell ref="P5:R5"/>
    <mergeCell ref="A1:E1"/>
    <mergeCell ref="B2:E2"/>
    <mergeCell ref="B3:E3"/>
    <mergeCell ref="A4:T4"/>
    <mergeCell ref="A5:A6"/>
    <mergeCell ref="B5:B6"/>
    <mergeCell ref="C5:C6"/>
    <mergeCell ref="D5:D6"/>
    <mergeCell ref="E5:E6"/>
    <mergeCell ref="F5:F6"/>
    <mergeCell ref="S5:S6"/>
    <mergeCell ref="T5:T6"/>
  </mergeCells>
  <hyperlinks>
    <hyperlink ref="A1:E1" location="Clases!A1" display="&lt;-Volver al inicio" xr:uid="{D59F3A60-5BCE-40D7-B413-8AF5A83E547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92F90A-A7AE-4D8C-95D0-1528BB514DB1}">
          <x14:formula1>
            <xm:f>Valores!$D$2:$D$3</xm:f>
          </x14:formula1>
          <xm:sqref>Q7:Q12</xm:sqref>
        </x14:dataValidation>
        <x14:dataValidation type="list" allowBlank="1" showInputMessage="1" showErrorMessage="1" xr:uid="{D1AF5339-95B1-4E96-B34D-410CB58EC354}">
          <x14:formula1>
            <xm:f>Valores!$C$2:$C$3</xm:f>
          </x14:formula1>
          <xm:sqref>N7:N12 F7:I12 L7:L12 P7:P12 R8:R12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0646-7300-4608-bcc3-e29ed014863a">
      <Terms xmlns="http://schemas.microsoft.com/office/infopath/2007/PartnerControls"/>
    </lcf76f155ced4ddcb4097134ff3c332f>
    <TaxCatchAll xmlns="734bc881-a844-4d86-9741-49f87248cc4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45CC36234B18439988D70FCB761011" ma:contentTypeVersion="11" ma:contentTypeDescription="Crear nuevo documento." ma:contentTypeScope="" ma:versionID="8ca733e0ec3c0df6e34813901e7a3ca5">
  <xsd:schema xmlns:xsd="http://www.w3.org/2001/XMLSchema" xmlns:xs="http://www.w3.org/2001/XMLSchema" xmlns:p="http://schemas.microsoft.com/office/2006/metadata/properties" xmlns:ns2="36cf0646-7300-4608-bcc3-e29ed014863a" xmlns:ns3="734bc881-a844-4d86-9741-49f87248cc41" targetNamespace="http://schemas.microsoft.com/office/2006/metadata/properties" ma:root="true" ma:fieldsID="aed9a3083501fe1d9ea761da13b3b1bf" ns2:_="" ns3:_="">
    <xsd:import namespace="36cf0646-7300-4608-bcc3-e29ed014863a"/>
    <xsd:import namespace="734bc881-a844-4d86-9741-49f87248cc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0646-7300-4608-bcc3-e29ed01486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bc881-a844-4d86-9741-49f87248cc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d7f751-9688-420a-8900-5900346a391c}" ma:internalName="TaxCatchAll" ma:showField="CatchAllData" ma:web="734bc881-a844-4d86-9741-49f87248cc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878460-2F3A-41BD-95C2-4CD9C0DA2538}"/>
</file>

<file path=customXml/itemProps2.xml><?xml version="1.0" encoding="utf-8"?>
<ds:datastoreItem xmlns:ds="http://schemas.openxmlformats.org/officeDocument/2006/customXml" ds:itemID="{9AE2A7AE-CB58-44F4-8195-7E287552EB43}"/>
</file>

<file path=customXml/itemProps3.xml><?xml version="1.0" encoding="utf-8"?>
<ds:datastoreItem xmlns:ds="http://schemas.openxmlformats.org/officeDocument/2006/customXml" ds:itemID="{AFC3D22C-AA01-40DA-B474-510E989FE5B3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Kevin Stiven Montoya Prada</cp:lastModifiedBy>
  <cp:revision/>
  <dcterms:created xsi:type="dcterms:W3CDTF">2023-03-29T19:04:22Z</dcterms:created>
  <dcterms:modified xsi:type="dcterms:W3CDTF">2026-02-14T14:14:06Z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2023-03-29T20:40:24Z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0c313e8a-0cbc-47b0-90bf-fa4503b785f4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0x0101001945CC36234B18439988D70FCB761011</vt:lpwstr>
  </property>
  <property fmtid="{D5CDD505-2E9C-101B-9397-08002B2CF9AE}" pid="12" name="MediaServiceImageTags">
    <vt:lpwstr/>
  </property>
</Properties>
</file>