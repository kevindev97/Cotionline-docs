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smp1\OneDrive\Documentos\"/>
    </mc:Choice>
  </mc:AlternateContent>
  <xr:revisionPtr revIDLastSave="0" documentId="13_ncr:1_{B838B9C5-C9CC-4FAF-B052-A871F4E31E8C}" xr6:coauthVersionLast="47" xr6:coauthVersionMax="47" xr10:uidLastSave="{00000000-0000-0000-0000-000000000000}"/>
  <bookViews>
    <workbookView xWindow="-98" yWindow="-98" windowWidth="21795" windowHeight="12975" firstSheet="10" activeTab="14" xr2:uid="{00000000-000D-0000-FFFF-FFFF00000000}"/>
  </bookViews>
  <sheets>
    <sheet name="Modelo dominio anémico contexto" sheetId="1" r:id="rId1"/>
    <sheet name="Listado Objetos de Dominio" sheetId="2" r:id="rId2"/>
    <sheet name="Valores" sheetId="3" r:id="rId3"/>
    <sheet name="Departamento" sheetId="4" r:id="rId4"/>
    <sheet name="Usuario" sheetId="5" r:id="rId5"/>
    <sheet name="Ciudad" sheetId="6" r:id="rId6"/>
    <sheet name="Negocio" sheetId="7" r:id="rId7"/>
    <sheet name="Sede" sheetId="8" r:id="rId8"/>
    <sheet name="Colaborador" sheetId="9" r:id="rId9"/>
    <sheet name="Solicitud Cotizacion" sheetId="10" r:id="rId10"/>
    <sheet name="Producto" sheetId="11" r:id="rId11"/>
    <sheet name="Cotizacion" sheetId="12" r:id="rId12"/>
    <sheet name="Notificación" sheetId="13" r:id="rId13"/>
    <sheet name="Plan de suscripción" sheetId="14" r:id="rId14"/>
    <sheet name="Transacción de pago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S4" i="15"/>
  <c r="R4" i="15"/>
  <c r="Q4" i="15"/>
  <c r="B3" i="15"/>
  <c r="B2" i="15"/>
  <c r="T4" i="14"/>
  <c r="S4" i="14"/>
  <c r="R4" i="14"/>
  <c r="Q4" i="14"/>
  <c r="B3" i="14"/>
  <c r="B2" i="14"/>
  <c r="T4" i="13"/>
  <c r="S4" i="13"/>
  <c r="R4" i="13"/>
  <c r="Q4" i="13"/>
  <c r="B3" i="13"/>
  <c r="B2" i="13"/>
  <c r="T4" i="12"/>
  <c r="S4" i="12"/>
  <c r="R4" i="12"/>
  <c r="Q4" i="12"/>
  <c r="B3" i="12"/>
  <c r="B2" i="12"/>
  <c r="T4" i="11"/>
  <c r="S4" i="11"/>
  <c r="R4" i="11"/>
  <c r="Q4" i="11"/>
  <c r="B3" i="11"/>
  <c r="B2" i="11"/>
  <c r="T4" i="10"/>
  <c r="S4" i="10"/>
  <c r="R4" i="10"/>
  <c r="Q4" i="10"/>
  <c r="B3" i="10"/>
  <c r="B2" i="10"/>
  <c r="T4" i="9"/>
  <c r="S4" i="9"/>
  <c r="R4" i="9"/>
  <c r="Q4" i="9"/>
  <c r="B3" i="9"/>
  <c r="B2" i="9"/>
  <c r="T4" i="8"/>
  <c r="S4" i="8"/>
  <c r="R4" i="8"/>
  <c r="Q4" i="8"/>
  <c r="B3" i="8"/>
  <c r="B2" i="8"/>
  <c r="T4" i="7"/>
  <c r="S4" i="7"/>
  <c r="R4" i="7"/>
  <c r="Q4" i="7"/>
  <c r="B3" i="7"/>
  <c r="B2" i="7"/>
  <c r="T4" i="6"/>
  <c r="S4" i="6"/>
  <c r="R4" i="6"/>
  <c r="Q4" i="6"/>
  <c r="B3" i="6"/>
  <c r="B2" i="6"/>
  <c r="T4" i="5"/>
  <c r="S4" i="5"/>
  <c r="R4" i="5"/>
  <c r="Q4" i="5"/>
  <c r="B3" i="5"/>
  <c r="B2" i="5"/>
  <c r="T4" i="4"/>
  <c r="S4" i="4"/>
  <c r="R4" i="4"/>
  <c r="Q4" i="4"/>
  <c r="B3" i="4"/>
  <c r="B2" i="4"/>
</calcChain>
</file>

<file path=xl/sharedStrings.xml><?xml version="1.0" encoding="utf-8"?>
<sst xmlns="http://schemas.openxmlformats.org/spreadsheetml/2006/main" count="1856" uniqueCount="466">
  <si>
    <t>Subdominio/Contexto:</t>
  </si>
  <si>
    <t>Cliente</t>
  </si>
  <si>
    <t>Nombre</t>
  </si>
  <si>
    <t>Descripción</t>
  </si>
  <si>
    <t>Tipo</t>
  </si>
  <si>
    <t>Contexto</t>
  </si>
  <si>
    <t>Departamento</t>
  </si>
  <si>
    <t>Indica el departamento al que pertenece la ciudad donde reside el cliente</t>
  </si>
  <si>
    <t>Propio</t>
  </si>
  <si>
    <t>Usuario</t>
  </si>
  <si>
    <t>Ciudad</t>
  </si>
  <si>
    <t>Se refiere a la ciudad donde reside el cliente y/o donde está ubicado su negocio</t>
  </si>
  <si>
    <t>Describe al usuario que realiza las solicitudes de cotización en la aplicación</t>
  </si>
  <si>
    <t>Negocio</t>
  </si>
  <si>
    <t>Se refiere al negocio que ha registrado el cliente en la aplicación</t>
  </si>
  <si>
    <t>Sede</t>
  </si>
  <si>
    <t>Se refiere a la o las sedes/sucursales que posee el negocio del cliente</t>
  </si>
  <si>
    <t>Colaborador</t>
  </si>
  <si>
    <t>Indica a un usuario externo encargado de ayudar al cliente con las solicitudes de cotización</t>
  </si>
  <si>
    <t>Solicitud cotización</t>
  </si>
  <si>
    <t>Se refiere al documento que diligencia el cliente solicitando la cotización de ciertos productos a los proveedores</t>
  </si>
  <si>
    <t>Producto</t>
  </si>
  <si>
    <t>Indica el producto que se crea en la solicitud de cotización</t>
  </si>
  <si>
    <t>Cotización</t>
  </si>
  <si>
    <t>Se refiere a la respuesta que da el proveedor a la solicitud de cotización del cliente</t>
  </si>
  <si>
    <t>Referenciado</t>
  </si>
  <si>
    <t>Proveedor</t>
  </si>
  <si>
    <t>Notificación</t>
  </si>
  <si>
    <t xml:space="preserve">Se refiere a las alertas y notificaciones que recibe el usuario </t>
  </si>
  <si>
    <t>Plan de suscripción</t>
  </si>
  <si>
    <t>Indica el plan al que el usuario se encuentra inscrito y los beneficios que posee con este</t>
  </si>
  <si>
    <t>Transacción de pago</t>
  </si>
  <si>
    <t>Indica la transaccion de pago del usuario para adquirir un plan de suscripción</t>
  </si>
  <si>
    <t>Tipo Objeto Dominio</t>
  </si>
  <si>
    <t>Cuando el objeto de dominio es parte del contexto actual</t>
  </si>
  <si>
    <t>Cuando el objeto de dominio es parte de otro contexto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</si>
  <si>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</si>
  <si>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</si>
  <si>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</si>
  <si>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</si>
  <si>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</si>
  <si>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</si>
  <si>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</si>
  <si>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</si>
  <si>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</si>
  <si>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</si>
  <si>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</si>
  <si>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</si>
  <si>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</si>
  <si>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</si>
  <si>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</si>
  <si>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</si>
  <si>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</si>
  <si>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</si>
  <si>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Codigo</t>
  </si>
  <si>
    <t>Entero</t>
  </si>
  <si>
    <t/>
  </si>
  <si>
    <t>Mayor que 0</t>
  </si>
  <si>
    <t>Si</t>
  </si>
  <si>
    <t>No</t>
  </si>
  <si>
    <t>Atributo que representa el código que identifica a un departamento determinado y asegura que sea único.</t>
  </si>
  <si>
    <t>Texto</t>
  </si>
  <si>
    <t>Solo letras y espacios</t>
  </si>
  <si>
    <t>Atributo que representa el nombre que se le asigna a un departamento determinado.</t>
  </si>
  <si>
    <t>Combinaciones únicas</t>
  </si>
  <si>
    <t>Nombre combinación</t>
  </si>
  <si>
    <t>Atributos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</si>
  <si>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</si>
  <si>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</si>
  <si>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</si>
  <si>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</si>
  <si>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</si>
  <si>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</si>
  <si>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</si>
  <si>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</si>
  <si>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</si>
  <si>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</si>
  <si>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Consultar</t>
  </si>
  <si>
    <t>Servicio de negocio que permite consultar la información de los departamentos.</t>
  </si>
  <si>
    <t>Una entidad de tipo Departamento, que contendrá los filtros de consulta permitidos de acuerdo al requisito de información.</t>
  </si>
  <si>
    <t>Un listado con la información de todos los departamentos que cumplen con los parámetros de filtrado recibidos.</t>
  </si>
  <si>
    <t>N/A</t>
  </si>
  <si>
    <t>id</t>
  </si>
  <si>
    <t>uuid</t>
  </si>
  <si>
    <t>36</t>
  </si>
  <si>
    <t>-</t>
  </si>
  <si>
    <t>UUID</t>
  </si>
  <si>
    <t>Auto generado por la base de datos</t>
  </si>
  <si>
    <t>Identificador único del usuario</t>
  </si>
  <si>
    <t>identificacion</t>
  </si>
  <si>
    <t>alfanumerico</t>
  </si>
  <si>
    <t>Numeros y letras</t>
  </si>
  <si>
    <t>Debe ser único por usuario</t>
  </si>
  <si>
    <t>DNI o NIT del usuario</t>
  </si>
  <si>
    <t>nombre</t>
  </si>
  <si>
    <t>1</t>
  </si>
  <si>
    <t>100</t>
  </si>
  <si>
    <t>Nombre del usuario</t>
  </si>
  <si>
    <t>Apellido del usuario</t>
  </si>
  <si>
    <t>Email</t>
  </si>
  <si>
    <t>Formato email válido y único</t>
  </si>
  <si>
    <t>Correo electrónico</t>
  </si>
  <si>
    <t>password</t>
  </si>
  <si>
    <t>Hashed</t>
  </si>
  <si>
    <t>Se almacena encriptado con Bcrypt</t>
  </si>
  <si>
    <t>Contraseña de acceso</t>
  </si>
  <si>
    <t>Referencia a lista de departamentos</t>
  </si>
  <si>
    <t>Departamento de ubicación</t>
  </si>
  <si>
    <t>Referencia a lista de ciudades</t>
  </si>
  <si>
    <t>Ciudad de ubicación</t>
  </si>
  <si>
    <t>enum</t>
  </si>
  <si>
    <t>OWNER|COLLABORATOR</t>
  </si>
  <si>
    <t>OWNER</t>
  </si>
  <si>
    <t>Control de acceso basado en roles</t>
  </si>
  <si>
    <t>Rol del usuario en el sistema</t>
  </si>
  <si>
    <t>Asignado si es un colaborador</t>
  </si>
  <si>
    <t>ID del dueño de la cuenta</t>
  </si>
  <si>
    <t>Relación con el plan de suscripción</t>
  </si>
  <si>
    <t>Plan actual</t>
  </si>
  <si>
    <t>fecha</t>
  </si>
  <si>
    <t>Date</t>
  </si>
  <si>
    <t>Fecha de inicio del plan actual</t>
  </si>
  <si>
    <t>Fecha de activación del plan</t>
  </si>
  <si>
    <t>loginUser</t>
  </si>
  <si>
    <t>Servicio que permite al usuario autenticarse y generar un token JWT</t>
  </si>
  <si>
    <t>Email, Password</t>
  </si>
  <si>
    <t>JSON</t>
  </si>
  <si>
    <t>Token, Datos Usuario</t>
  </si>
  <si>
    <t>Credenciales válidas</t>
  </si>
  <si>
    <t>Credenciales inválidas</t>
  </si>
  <si>
    <t>registerUser</t>
  </si>
  <si>
    <t>Servicio que permite la creación de una nueva cuenta de usuario</t>
  </si>
  <si>
    <t>Datos Usuario</t>
  </si>
  <si>
    <t>Usuario creado</t>
  </si>
  <si>
    <t>Email único</t>
  </si>
  <si>
    <t>Email ya registrado</t>
  </si>
  <si>
    <t>getUser</t>
  </si>
  <si>
    <t>Servicio que obtiene el perfil del usuario autenticado</t>
  </si>
  <si>
    <t>ID Usuario</t>
  </si>
  <si>
    <t>Detalle Usuario</t>
  </si>
  <si>
    <t>Token válido</t>
  </si>
  <si>
    <t>No autorizado</t>
  </si>
  <si>
    <t>updateUser</t>
  </si>
  <si>
    <t>Servicio que permite modificar los datos del perfil</t>
  </si>
  <si>
    <t>Datos a editar</t>
  </si>
  <si>
    <t>'Tipo Relación Institución'!A6</t>
  </si>
  <si>
    <t>Usuario actualizado</t>
  </si>
  <si>
    <t>Permisos de edición</t>
  </si>
  <si>
    <t>Datos inválidos</t>
  </si>
  <si>
    <t>deleteUser</t>
  </si>
  <si>
    <t>Servicio que permite eliminar la cuenta y datos asociados</t>
  </si>
  <si>
    <t>Confirmación</t>
  </si>
  <si>
    <t>Confirmación del usuario</t>
  </si>
  <si>
    <t>Error de proceso</t>
  </si>
  <si>
    <t>Número entero</t>
  </si>
  <si>
    <t>Mayo que 0</t>
  </si>
  <si>
    <t>Aplican las reglas definidas en el requisito de información propio de Departamento</t>
  </si>
  <si>
    <t>Servicio de negocio que permite consultar la información de las ciudades.</t>
  </si>
  <si>
    <t>Una entidad de tipo Ciudad, que contendrá los filtros de consulta permitidos de acuerdo al requisito de información.</t>
  </si>
  <si>
    <t>Un listado con la información de todas las ciudades que cumplen con los parámetros de filtrado recibidos.</t>
  </si>
  <si>
    <t>Auto generado</t>
  </si>
  <si>
    <t>ID único del negocio</t>
  </si>
  <si>
    <t>nit</t>
  </si>
  <si>
    <t>NIT</t>
  </si>
  <si>
    <t>Debe ser único</t>
  </si>
  <si>
    <t>NIT de la empresa</t>
  </si>
  <si>
    <t>name</t>
  </si>
  <si>
    <t>Nombre de la empresa</t>
  </si>
  <si>
    <t>Descripción del negocio</t>
  </si>
  <si>
    <t>Dirección</t>
  </si>
  <si>
    <t>Dirección principal</t>
  </si>
  <si>
    <t>Dueño del negocio</t>
  </si>
  <si>
    <t>ID del usuario propietario</t>
  </si>
  <si>
    <t>PENDING|ACTIVE|REJECTED</t>
  </si>
  <si>
    <t>PENDING</t>
  </si>
  <si>
    <t>Estado de verificación por admin</t>
  </si>
  <si>
    <t>Estado del negocio</t>
  </si>
  <si>
    <t>URL</t>
  </si>
  <si>
    <t>Ruta al archivo PDF del RUT</t>
  </si>
  <si>
    <t>URL del RUT cargado</t>
  </si>
  <si>
    <t>Ruta al PDF de Cámara de Comercio</t>
  </si>
  <si>
    <t>URL de Cámara de Comercio</t>
  </si>
  <si>
    <t>registerBusiness</t>
  </si>
  <si>
    <t>Registra un nuevo negocio y carga sus documentos legales</t>
  </si>
  <si>
    <t>Datos negocio + Files</t>
  </si>
  <si>
    <t>Negocio pendiente</t>
  </si>
  <si>
    <t>Usuario autenticado</t>
  </si>
  <si>
    <t>Archivos inválidos</t>
  </si>
  <si>
    <t>getBusiness</t>
  </si>
  <si>
    <t>Obtiene la información comercial de un negocio específico</t>
  </si>
  <si>
    <t>ID Negocio</t>
  </si>
  <si>
    <t>Detalle negocio</t>
  </si>
  <si>
    <t>Público</t>
  </si>
  <si>
    <t>No encontrado</t>
  </si>
  <si>
    <t>updateBusiness</t>
  </si>
  <si>
    <t>Permite editar la información del negocio</t>
  </si>
  <si>
    <t>Datos negocio</t>
  </si>
  <si>
    <t>Negocio actualizado</t>
  </si>
  <si>
    <t>Es el propietario</t>
  </si>
  <si>
    <t>verifyBusiness</t>
  </si>
  <si>
    <t>Proceso administrativo para validar el estado del negocio</t>
  </si>
  <si>
    <t>Estado nuevo</t>
  </si>
  <si>
    <t>Estado actualizado</t>
  </si>
  <si>
    <t>Es administrador</t>
  </si>
  <si>
    <t>Sin permisos</t>
  </si>
  <si>
    <t>deleteBusiness</t>
  </si>
  <si>
    <t>Elimina el registro de la empresa del sistema</t>
  </si>
  <si>
    <t>Sin solicitudes activas</t>
  </si>
  <si>
    <t>Tiene dependencias</t>
  </si>
  <si>
    <t>ID único de la sede</t>
  </si>
  <si>
    <t>Nombre de la sede</t>
  </si>
  <si>
    <t>Ubicación física</t>
  </si>
  <si>
    <t>Ciudad de la sede</t>
  </si>
  <si>
    <t>ID del negocio padre</t>
  </si>
  <si>
    <t>'Objeto Dominio N'!R4</t>
  </si>
  <si>
    <t>Actualizar datos</t>
  </si>
  <si>
    <t>Servicio que permite actualizar la informacion de una sede existente</t>
  </si>
  <si>
    <t xml:space="preserve">consultar </t>
  </si>
  <si>
    <t>Servicio que permite consultar las sede existentes en la aplicacion</t>
  </si>
  <si>
    <t>eliminar</t>
  </si>
  <si>
    <t>Servicio que permite eliminar una sede existente</t>
  </si>
  <si>
    <t>ID único del colaborador</t>
  </si>
  <si>
    <t>PENDING|ACCEPTED|REJECTED</t>
  </si>
  <si>
    <t>Estado</t>
  </si>
  <si>
    <t>Now</t>
  </si>
  <si>
    <t>Fecha de envío</t>
  </si>
  <si>
    <t>Propietario</t>
  </si>
  <si>
    <t>Envía una invitación por correo a un nuevo colaborador</t>
  </si>
  <si>
    <t>Colaborador pendiente</t>
  </si>
  <si>
    <t>Plan permite más cupos</t>
  </si>
  <si>
    <t>Email ya invitado</t>
  </si>
  <si>
    <t>Lista colaboradores con invitación aceptada</t>
  </si>
  <si>
    <t>Lista activos</t>
  </si>
  <si>
    <t>Autenticado</t>
  </si>
  <si>
    <t>Sin datos</t>
  </si>
  <si>
    <t>Es el dueño</t>
  </si>
  <si>
    <t>Elimina a un colaborador del equipo</t>
  </si>
  <si>
    <t>ID Colaborador</t>
  </si>
  <si>
    <t>Error</t>
  </si>
  <si>
    <t>Proceso de aceptación vía link de correo</t>
  </si>
  <si>
    <t>Token/ID</t>
  </si>
  <si>
    <t>Estado ACCEPTED</t>
  </si>
  <si>
    <t>Invitación existe</t>
  </si>
  <si>
    <t>Link expirado</t>
  </si>
  <si>
    <t>Rechazo de la invitación</t>
  </si>
  <si>
    <t>Estado REJECTED</t>
  </si>
  <si>
    <t>ID único de la solicitud</t>
  </si>
  <si>
    <t>Título breve del requerimiento</t>
  </si>
  <si>
    <t>Título resumido</t>
  </si>
  <si>
    <t>Detalles adicionales del pedido</t>
  </si>
  <si>
    <t>Descripción detallada</t>
  </si>
  <si>
    <t>Fecha de creación</t>
  </si>
  <si>
    <t>Fecha límite para recibir ofertas</t>
  </si>
  <si>
    <t>Fecha límite</t>
  </si>
  <si>
    <t>PENDING|OPEN|CLOSED</t>
  </si>
  <si>
    <t>Ciclo de vida de la solicitud</t>
  </si>
  <si>
    <t>Estado actual</t>
  </si>
  <si>
    <t>Sede que originó el pedido</t>
  </si>
  <si>
    <t>Sede asociada</t>
  </si>
  <si>
    <t>Usuario que solicita</t>
  </si>
  <si>
    <t>ID solicitante</t>
  </si>
  <si>
    <t>registerQuotationRequest</t>
  </si>
  <si>
    <t>Publica una nueva solicitud de cotización al marketplace</t>
  </si>
  <si>
    <t>Título, Desc, Productos</t>
  </si>
  <si>
    <t>Solicitud creada</t>
  </si>
  <si>
    <t>Créditos/Plan disponible</t>
  </si>
  <si>
    <t>Campos incompletos</t>
  </si>
  <si>
    <t>getQuotationRequest</t>
  </si>
  <si>
    <t>Consulta el detalle técnico de una solicitud y sus productos</t>
  </si>
  <si>
    <t>ID Solicitud</t>
  </si>
  <si>
    <t>Objeto completo</t>
  </si>
  <si>
    <t>Acceso público/privado</t>
  </si>
  <si>
    <t>No encontrada</t>
  </si>
  <si>
    <t>getAllQuotationRequestsByUserId</t>
  </si>
  <si>
    <t>Historial de solicitudes realizadas por el usuario</t>
  </si>
  <si>
    <t>Lista solicitudes</t>
  </si>
  <si>
    <t>Sesión activa</t>
  </si>
  <si>
    <t>searchQuotationRequestsByTitle</t>
  </si>
  <si>
    <t>Búsqueda dinámica en el marketplace</t>
  </si>
  <si>
    <t>Keyword</t>
  </si>
  <si>
    <t>Resultados filtrados</t>
  </si>
  <si>
    <t>Texto de búsqueda</t>
  </si>
  <si>
    <t>Sin coincidencias</t>
  </si>
  <si>
    <t>updateQuotationRequest</t>
  </si>
  <si>
    <t>Permite corregir errores en la solicitud abierta</t>
  </si>
  <si>
    <t>Nuevos parámetros</t>
  </si>
  <si>
    <t>Actualizado</t>
  </si>
  <si>
    <t>Estado PENDING/OPEN</t>
  </si>
  <si>
    <t>Estado CLOSED</t>
  </si>
  <si>
    <t>closeQuotationRequest</t>
  </si>
  <si>
    <t>Cierra la recepción de nuevas cotizaciones</t>
  </si>
  <si>
    <t>Es el autor</t>
  </si>
  <si>
    <t>Ya cerrada</t>
  </si>
  <si>
    <t>deleteQuotationRequest</t>
  </si>
  <si>
    <t>Elimina permanentemente la solicitud</t>
  </si>
  <si>
    <t>Sin cotizaciones recibidas</t>
  </si>
  <si>
    <t>ID del ítem</t>
  </si>
  <si>
    <t>Nombre del producto</t>
  </si>
  <si>
    <t>numero</t>
  </si>
  <si>
    <t>Integer</t>
  </si>
  <si>
    <t>Cantidad requerida</t>
  </si>
  <si>
    <t>Unidad (Kg, Un, Mts, etc)</t>
  </si>
  <si>
    <t>Unidad de medida</t>
  </si>
  <si>
    <t>0</t>
  </si>
  <si>
    <t>Notas del producto</t>
  </si>
  <si>
    <t>ID de la solicitud padre</t>
  </si>
  <si>
    <t>Clave foránea solicitud</t>
  </si>
  <si>
    <t>Fecha registro item</t>
  </si>
  <si>
    <t>ID de la oferta</t>
  </si>
  <si>
    <t>Fecha de emisión</t>
  </si>
  <si>
    <t>Fecha creación</t>
  </si>
  <si>
    <t>Validez de la oferta</t>
  </si>
  <si>
    <t>Vigencia</t>
  </si>
  <si>
    <t>price</t>
  </si>
  <si>
    <t>Monetario</t>
  </si>
  <si>
    <t>Valor total de la oferta</t>
  </si>
  <si>
    <t>Precio total</t>
  </si>
  <si>
    <t>fecha/texto</t>
  </si>
  <si>
    <t>Fecha estimada de entrega</t>
  </si>
  <si>
    <t>Plazo entrega</t>
  </si>
  <si>
    <t>Términos y condiciones</t>
  </si>
  <si>
    <t>Observaciones</t>
  </si>
  <si>
    <t>DRAFT|PENDING|ACCEPTED|EXPIRED</t>
  </si>
  <si>
    <t>DRAFT</t>
  </si>
  <si>
    <t>Estado gestión oferta</t>
  </si>
  <si>
    <t>json</t>
  </si>
  <si>
    <t>Array</t>
  </si>
  <si>
    <t>Desglose de valores por producto</t>
  </si>
  <si>
    <t>Valores unitarios</t>
  </si>
  <si>
    <t>Solicitud vinculada</t>
  </si>
  <si>
    <t>Envía una oferta formal a una solicitud del marketplace</t>
  </si>
  <si>
    <t>Datos cotización</t>
  </si>
  <si>
    <t>Oferta enviada</t>
  </si>
  <si>
    <t>No es su propia solicitud</t>
  </si>
  <si>
    <t>Solicitud cerrada</t>
  </si>
  <si>
    <t>Ver detalle de una oferta recibida o enviada</t>
  </si>
  <si>
    <t>ID Cotización</t>
  </si>
  <si>
    <t>Objeto cotización</t>
  </si>
  <si>
    <t>Dueño o Solicitante</t>
  </si>
  <si>
    <t>Permite al proveedor ajustar su oferta</t>
  </si>
  <si>
    <t>Nuevos valores</t>
  </si>
  <si>
    <t>Actualizada</t>
  </si>
  <si>
    <t>Estado DRAFT o PENDING</t>
  </si>
  <si>
    <t>Ya aceptada</t>
  </si>
  <si>
    <t>Algoritmo de selección de mejor oferta</t>
  </si>
  <si>
    <t>Ranking</t>
  </si>
  <si>
    <t>Tener mínimo 2 ofertas</t>
  </si>
  <si>
    <t>Pocas ofertas</t>
  </si>
  <si>
    <t>Retira la oferta del proceso</t>
  </si>
  <si>
    <t>Eliminada</t>
  </si>
  <si>
    <t>No aceptada aún</t>
  </si>
  <si>
    <t>ID notificación</t>
  </si>
  <si>
    <t>INFO|WARNING</t>
  </si>
  <si>
    <t>Categoría de alerta</t>
  </si>
  <si>
    <t>Tipo alerta</t>
  </si>
  <si>
    <t>Asunto</t>
  </si>
  <si>
    <t>Cuerpo mensaje</t>
  </si>
  <si>
    <t>link</t>
  </si>
  <si>
    <t>Destino al hacer clic</t>
  </si>
  <si>
    <t>Enlace acción</t>
  </si>
  <si>
    <t>boolean</t>
  </si>
  <si>
    <t>True/False</t>
  </si>
  <si>
    <t>False</t>
  </si>
  <si>
    <t>Estado de lectura</t>
  </si>
  <si>
    <t>¿Leída?</t>
  </si>
  <si>
    <t>Fecha recibo</t>
  </si>
  <si>
    <t>Destinatario</t>
  </si>
  <si>
    <t>Usuario destino</t>
  </si>
  <si>
    <t>Genera una alerta al usuario por evento</t>
  </si>
  <si>
    <t>Tipo, Link, Título</t>
  </si>
  <si>
    <t>DB/Socket</t>
  </si>
  <si>
    <t>Notificación creada</t>
  </si>
  <si>
    <t>Evento disparador</t>
  </si>
  <si>
    <t>Falla envío</t>
  </si>
  <si>
    <t>Lista buzón de entrada del usuario</t>
  </si>
  <si>
    <t>Buzón</t>
  </si>
  <si>
    <t>Cero notificaciones</t>
  </si>
  <si>
    <t>Cambia estado a leída</t>
  </si>
  <si>
    <t>ID Notificación</t>
  </si>
  <si>
    <t>Click del usuario</t>
  </si>
  <si>
    <t>ID del plan</t>
  </si>
  <si>
    <t>Nombre único (Básico, Pro...)</t>
  </si>
  <si>
    <t>Nombre del plan</t>
  </si>
  <si>
    <t>Costo mensual</t>
  </si>
  <si>
    <t>Precio</t>
  </si>
  <si>
    <t>requestLimit</t>
  </si>
  <si>
    <t>Máx solicitudes/mes</t>
  </si>
  <si>
    <t>Límite pedidos</t>
  </si>
  <si>
    <t>quotationLimit</t>
  </si>
  <si>
    <t>Máx respuestas/mes</t>
  </si>
  <si>
    <t>Límite ofertas</t>
  </si>
  <si>
    <t>collaboratorLimit</t>
  </si>
  <si>
    <t>Máx invitados</t>
  </si>
  <si>
    <t>Límite equipo</t>
  </si>
  <si>
    <t>Servicio que permite consultar los planes de suscripción disponibles</t>
  </si>
  <si>
    <t xml:space="preserve">Actualizar metodo de pago </t>
  </si>
  <si>
    <t>Servicio que permite cambiar el metodo de pago que posee el usuario</t>
  </si>
  <si>
    <t>Iniciar pago</t>
  </si>
  <si>
    <t>Servicio que permite iniciar una transacción de pago mediante un servicio externo (WOMPI)</t>
  </si>
  <si>
    <t>ID transacción</t>
  </si>
  <si>
    <t>Quien paga</t>
  </si>
  <si>
    <t>Plan comprado</t>
  </si>
  <si>
    <t>ID Plan</t>
  </si>
  <si>
    <t>Valor pagado</t>
  </si>
  <si>
    <t>Monto</t>
  </si>
  <si>
    <t>Enum</t>
  </si>
  <si>
    <t>Estado del pago (Wompi)</t>
  </si>
  <si>
    <t>wompiId</t>
  </si>
  <si>
    <t>ID referencia externa</t>
  </si>
  <si>
    <t>Ref Wompi</t>
  </si>
  <si>
    <t>Fecha pago</t>
  </si>
  <si>
    <t>Fecha registro</t>
  </si>
  <si>
    <t>apellido</t>
  </si>
  <si>
    <t>correo</t>
  </si>
  <si>
    <t>contraseña</t>
  </si>
  <si>
    <t>departamento</t>
  </si>
  <si>
    <t>ciudad</t>
  </si>
  <si>
    <t>rol</t>
  </si>
  <si>
    <t>Idpropietario</t>
  </si>
  <si>
    <t>date</t>
  </si>
  <si>
    <t>FechaInicioPlan</t>
  </si>
  <si>
    <t>Idplan</t>
  </si>
  <si>
    <t>usuario</t>
  </si>
  <si>
    <t>direccion</t>
  </si>
  <si>
    <t>negocio</t>
  </si>
  <si>
    <t>Aplica las reglas definidas en el dominio de negocio</t>
  </si>
  <si>
    <t>Aplica las reglas definidas en el dominio de ciudad</t>
  </si>
  <si>
    <t xml:space="preserve"> </t>
  </si>
  <si>
    <t>descripcion</t>
  </si>
  <si>
    <t>estado</t>
  </si>
  <si>
    <t>rut</t>
  </si>
  <si>
    <t>camara de comercio</t>
  </si>
  <si>
    <t>estado_invitacion</t>
  </si>
  <si>
    <t>fecha_creacion</t>
  </si>
  <si>
    <t>Aplica las reglas definidas en el dominio de usuario</t>
  </si>
  <si>
    <t>invitar</t>
  </si>
  <si>
    <t>consultar</t>
  </si>
  <si>
    <t>eliminar colaborador</t>
  </si>
  <si>
    <t>aceptar invitacion</t>
  </si>
  <si>
    <t>rechazar invitacion</t>
  </si>
  <si>
    <t>titulo</t>
  </si>
  <si>
    <t>fecha creacion</t>
  </si>
  <si>
    <t>fecha expiracion</t>
  </si>
  <si>
    <t>sede</t>
  </si>
  <si>
    <t>cantidad</t>
  </si>
  <si>
    <t>unidad medida</t>
  </si>
  <si>
    <t>solicitud cotizacion</t>
  </si>
  <si>
    <t>fecha respuesta</t>
  </si>
  <si>
    <t>fecha limite</t>
  </si>
  <si>
    <t>valor</t>
  </si>
  <si>
    <t>tiempo entrega</t>
  </si>
  <si>
    <t>valor unitario</t>
  </si>
  <si>
    <t>Aplica las reglas definidas en el dominio de solicitud cotizacion</t>
  </si>
  <si>
    <t>ID del usuario al que pertenece la solicitud</t>
  </si>
  <si>
    <t>crear cotizacion</t>
  </si>
  <si>
    <t>editar cotizacion</t>
  </si>
  <si>
    <t>comparar cotizaciones</t>
  </si>
  <si>
    <t>eliminar cotizacion</t>
  </si>
  <si>
    <t>tipo</t>
  </si>
  <si>
    <t>mensaje</t>
  </si>
  <si>
    <t>lectura</t>
  </si>
  <si>
    <t>enviar notificacion</t>
  </si>
  <si>
    <t>consultar notificaciones</t>
  </si>
  <si>
    <t>marcar leidas</t>
  </si>
  <si>
    <t>plan</t>
  </si>
  <si>
    <t>fecha transaccion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</si>
</sst>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0" fillId="4" borderId="0" xfId="0" applyFill="1"/>
    <xf numFmtId="0" fontId="5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7" borderId="1" xfId="0" quotePrefix="1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quotePrefix="1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/>
    </xf>
    <xf numFmtId="0" fontId="4" fillId="8" borderId="7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2" fillId="6" borderId="1" xfId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5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5" borderId="3" xfId="1" applyFont="1" applyFill="1" applyBorder="1" applyAlignment="1">
      <alignment horizontal="center" vertical="center"/>
    </xf>
    <xf numFmtId="0" fontId="3" fillId="10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2" fillId="8" borderId="8" xfId="2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2" fillId="10" borderId="1" xfId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left" vertic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8" xfId="0" applyFill="1" applyBorder="1"/>
    <xf numFmtId="0" fontId="1" fillId="2" borderId="2" xfId="0" applyFont="1" applyFill="1" applyBorder="1" applyAlignment="1">
      <alignment vertical="center"/>
    </xf>
    <xf numFmtId="0" fontId="6" fillId="6" borderId="11" xfId="2" applyFont="1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6" borderId="11" xfId="0" applyFill="1" applyBorder="1" applyAlignment="1">
      <alignment vertical="center" wrapText="1"/>
    </xf>
    <xf numFmtId="0" fontId="4" fillId="7" borderId="11" xfId="0" applyFont="1" applyFill="1" applyBorder="1" applyAlignment="1">
      <alignment vertical="center"/>
    </xf>
    <xf numFmtId="0" fontId="4" fillId="7" borderId="11" xfId="0" applyFont="1" applyFill="1" applyBorder="1" applyAlignment="1">
      <alignment vertical="center" wrapText="1"/>
    </xf>
    <xf numFmtId="0" fontId="4" fillId="6" borderId="11" xfId="0" applyFont="1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4" fillId="7" borderId="13" xfId="0" applyFont="1" applyFill="1" applyBorder="1" applyAlignment="1">
      <alignment vertical="center"/>
    </xf>
    <xf numFmtId="0" fontId="4" fillId="7" borderId="13" xfId="0" quotePrefix="1" applyFont="1" applyFill="1" applyBorder="1" applyAlignment="1">
      <alignment vertical="center"/>
    </xf>
    <xf numFmtId="0" fontId="4" fillId="7" borderId="13" xfId="0" applyFont="1" applyFill="1" applyBorder="1" applyAlignment="1">
      <alignment vertical="center" wrapText="1"/>
    </xf>
    <xf numFmtId="0" fontId="4" fillId="6" borderId="13" xfId="0" applyFont="1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10" borderId="13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4" fillId="7" borderId="11" xfId="0" quotePrefix="1" applyFont="1" applyFill="1" applyBorder="1" applyAlignment="1">
      <alignment vertical="center" wrapText="1"/>
    </xf>
    <xf numFmtId="0" fontId="0" fillId="3" borderId="11" xfId="0" applyFill="1" applyBorder="1" applyAlignment="1">
      <alignment horizontal="center" vertical="center"/>
    </xf>
    <xf numFmtId="0" fontId="2" fillId="3" borderId="11" xfId="1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center" vertical="center"/>
    </xf>
    <xf numFmtId="0" fontId="2" fillId="3" borderId="13" xfId="1" applyFill="1" applyBorder="1" applyAlignment="1">
      <alignment horizontal="left" vertical="center"/>
    </xf>
    <xf numFmtId="0" fontId="0" fillId="3" borderId="13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0" fillId="3" borderId="14" xfId="0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7" borderId="19" xfId="0" applyFont="1" applyFill="1" applyBorder="1" applyAlignment="1">
      <alignment vertical="center"/>
    </xf>
    <xf numFmtId="0" fontId="4" fillId="7" borderId="19" xfId="0" quotePrefix="1" applyFont="1" applyFill="1" applyBorder="1" applyAlignment="1">
      <alignment vertical="center" wrapText="1"/>
    </xf>
    <xf numFmtId="0" fontId="4" fillId="7" borderId="19" xfId="0" applyFont="1" applyFill="1" applyBorder="1" applyAlignment="1">
      <alignment vertical="center" wrapText="1"/>
    </xf>
    <xf numFmtId="0" fontId="4" fillId="6" borderId="19" xfId="0" applyFont="1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10" borderId="19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4" fillId="7" borderId="18" xfId="0" applyFont="1" applyFill="1" applyBorder="1" applyAlignment="1">
      <alignment vertical="center"/>
    </xf>
    <xf numFmtId="0" fontId="4" fillId="7" borderId="20" xfId="0" applyFont="1" applyFill="1" applyBorder="1" applyAlignment="1">
      <alignment vertical="center"/>
    </xf>
    <xf numFmtId="0" fontId="4" fillId="7" borderId="21" xfId="0" applyFont="1" applyFill="1" applyBorder="1" applyAlignment="1">
      <alignment vertical="center"/>
    </xf>
    <xf numFmtId="0" fontId="4" fillId="7" borderId="22" xfId="0" applyFont="1" applyFill="1" applyBorder="1" applyAlignment="1">
      <alignment vertical="center"/>
    </xf>
    <xf numFmtId="0" fontId="4" fillId="7" borderId="13" xfId="0" quotePrefix="1" applyFont="1" applyFill="1" applyBorder="1" applyAlignment="1">
      <alignment vertical="center" wrapText="1"/>
    </xf>
    <xf numFmtId="0" fontId="4" fillId="7" borderId="13" xfId="0" applyFont="1" applyFill="1" applyBorder="1" applyAlignment="1">
      <alignment horizontal="left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4" fillId="7" borderId="0" xfId="0" quotePrefix="1" applyFont="1" applyFill="1" applyAlignment="1">
      <alignment vertical="center" wrapText="1"/>
    </xf>
    <xf numFmtId="0" fontId="0" fillId="0" borderId="11" xfId="0" applyBorder="1" applyAlignment="1">
      <alignment vertical="center"/>
    </xf>
    <xf numFmtId="0" fontId="0" fillId="3" borderId="19" xfId="0" applyFill="1" applyBorder="1" applyAlignment="1">
      <alignment horizontal="left" vertical="center" wrapText="1"/>
    </xf>
    <xf numFmtId="0" fontId="0" fillId="3" borderId="19" xfId="0" applyFill="1" applyBorder="1" applyAlignment="1">
      <alignment vertical="center" wrapText="1"/>
    </xf>
    <xf numFmtId="0" fontId="0" fillId="3" borderId="19" xfId="0" applyFill="1" applyBorder="1" applyAlignment="1">
      <alignment horizontal="center" vertical="center"/>
    </xf>
    <xf numFmtId="0" fontId="2" fillId="3" borderId="19" xfId="1" applyFill="1" applyBorder="1" applyAlignment="1">
      <alignment horizontal="left" vertical="center"/>
    </xf>
    <xf numFmtId="0" fontId="0" fillId="3" borderId="19" xfId="0" applyFill="1" applyBorder="1" applyAlignment="1">
      <alignment horizontal="center" vertical="center" wrapText="1"/>
    </xf>
    <xf numFmtId="0" fontId="0" fillId="3" borderId="22" xfId="0" applyFill="1" applyBorder="1" applyAlignment="1">
      <alignment vertical="center" wrapText="1"/>
    </xf>
    <xf numFmtId="0" fontId="2" fillId="5" borderId="0" xfId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6" fillId="6" borderId="19" xfId="2" applyFont="1" applyFill="1" applyBorder="1" applyAlignment="1">
      <alignment vertical="center"/>
    </xf>
    <xf numFmtId="0" fontId="0" fillId="6" borderId="19" xfId="0" applyFill="1" applyBorder="1" applyAlignment="1">
      <alignment vertical="center" wrapText="1"/>
    </xf>
    <xf numFmtId="0" fontId="0" fillId="6" borderId="19" xfId="0" applyFill="1" applyBorder="1" applyAlignment="1">
      <alignment vertical="center"/>
    </xf>
    <xf numFmtId="0" fontId="6" fillId="6" borderId="11" xfId="1" applyFont="1" applyFill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0" fillId="0" borderId="27" xfId="0" applyBorder="1"/>
    <xf numFmtId="0" fontId="0" fillId="0" borderId="28" xfId="0" applyBorder="1"/>
    <xf numFmtId="0" fontId="1" fillId="6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31" xfId="0" applyBorder="1"/>
    <xf numFmtId="0" fontId="0" fillId="0" borderId="32" xfId="0" applyBorder="1"/>
    <xf numFmtId="0" fontId="0" fillId="0" borderId="10" xfId="0" applyBorder="1"/>
    <xf numFmtId="0" fontId="0" fillId="5" borderId="1" xfId="0" applyFill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0" fontId="4" fillId="6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9" xfId="0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2" fillId="6" borderId="4" xfId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2" fillId="10" borderId="30" xfId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0" fillId="0" borderId="0" xfId="0" applyAlignment="1">
      <alignment vertical="center"/>
    </xf>
    <xf numFmtId="0" fontId="2" fillId="5" borderId="4" xfId="1" applyFill="1" applyBorder="1" applyAlignment="1">
      <alignment horizontal="left" vertical="center"/>
    </xf>
    <xf numFmtId="0" fontId="2" fillId="3" borderId="4" xfId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3" borderId="12" xfId="1" applyFill="1" applyBorder="1" applyAlignment="1">
      <alignment horizontal="left" vertical="center" wrapText="1"/>
    </xf>
    <xf numFmtId="0" fontId="0" fillId="0" borderId="29" xfId="0" applyBorder="1"/>
    <xf numFmtId="0" fontId="2" fillId="3" borderId="19" xfId="1" applyFill="1" applyBorder="1" applyAlignment="1">
      <alignment horizontal="left" vertical="center" wrapText="1"/>
    </xf>
    <xf numFmtId="0" fontId="0" fillId="0" borderId="21" xfId="0" applyBorder="1"/>
    <xf numFmtId="0" fontId="0" fillId="3" borderId="11" xfId="0" applyFill="1" applyBorder="1" applyAlignment="1">
      <alignment horizontal="left" vertical="center" wrapText="1"/>
    </xf>
    <xf numFmtId="0" fontId="0" fillId="0" borderId="23" xfId="0" applyBorder="1"/>
    <xf numFmtId="0" fontId="0" fillId="0" borderId="20" xfId="0" applyBorder="1"/>
    <xf numFmtId="0" fontId="2" fillId="3" borderId="11" xfId="1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0" borderId="33" xfId="0" applyBorder="1"/>
    <xf numFmtId="0" fontId="0" fillId="3" borderId="13" xfId="0" applyFill="1" applyBorder="1" applyAlignment="1">
      <alignment horizontal="center" vertical="center" wrapText="1"/>
    </xf>
    <xf numFmtId="0" fontId="0" fillId="0" borderId="24" xfId="0" applyBorder="1"/>
    <xf numFmtId="0" fontId="0" fillId="3" borderId="13" xfId="0" applyFill="1" applyBorder="1" applyAlignment="1">
      <alignment horizontal="left" vertical="center" wrapText="1"/>
    </xf>
    <xf numFmtId="0" fontId="2" fillId="5" borderId="24" xfId="1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 wrapText="1"/>
    </xf>
    <xf numFmtId="0" fontId="4" fillId="7" borderId="1" xfId="0" applyNumberFormat="1" applyFont="1" applyFill="1" applyBorder="1" applyAlignment="1">
      <alignment vertical="center"/>
    </xf>
    <xf numFmtId="0" fontId="4" fillId="7" borderId="13" xfId="0" applyNumberFormat="1" applyFont="1" applyFill="1" applyBorder="1" applyAlignment="1">
      <alignment vertical="center"/>
    </xf>
    <xf numFmtId="0" fontId="4" fillId="7" borderId="11" xfId="0" applyNumberFormat="1" applyFont="1" applyFill="1" applyBorder="1" applyAlignment="1">
      <alignment vertical="center"/>
    </xf>
    <xf numFmtId="0" fontId="4" fillId="7" borderId="19" xfId="0" applyNumberFormat="1" applyFont="1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0" fontId="5" fillId="9" borderId="30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 wrapText="1"/>
    </xf>
    <xf numFmtId="0" fontId="2" fillId="8" borderId="36" xfId="2" applyFill="1" applyBorder="1" applyAlignment="1">
      <alignment vertical="center"/>
    </xf>
    <xf numFmtId="0" fontId="0" fillId="7" borderId="1" xfId="0" applyFill="1" applyBorder="1" applyAlignment="1"/>
    <xf numFmtId="0" fontId="0" fillId="11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0" fillId="5" borderId="1" xfId="0" applyFill="1" applyBorder="1"/>
    <xf numFmtId="0" fontId="0" fillId="5" borderId="1" xfId="0" applyFill="1" applyBorder="1"/>
  </cellXfs>
  <cellStyles count="3">
    <cellStyle name="Hipervínculo" xfId="1" builtinId="8"/>
    <cellStyle name="Hyperlink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5" zoomScaleNormal="85" workbookViewId="0">
      <selection activeCell="M6" sqref="M6"/>
    </sheetView>
  </sheetViews>
  <sheetFormatPr baseColWidth="10" defaultColWidth="11.3984375" defaultRowHeight="14.25" x14ac:dyDescent="0.45"/>
  <cols>
    <col min="1" max="1" width="11.3984375" style="3" customWidth="1"/>
    <col min="2" max="16384" width="11.3984375" style="3"/>
  </cols>
  <sheetData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Normal="100" workbookViewId="0">
      <pane ySplit="2" topLeftCell="A3" activePane="bottomLeft" state="frozen"/>
      <selection pane="bottomLeft" activeCell="A8" sqref="A8"/>
    </sheetView>
  </sheetViews>
  <sheetFormatPr baseColWidth="10" defaultColWidth="11.3984375" defaultRowHeight="14.25" x14ac:dyDescent="0.45"/>
  <cols>
    <col min="1" max="1" width="21.59765625" style="1" bestFit="1" customWidth="1"/>
    <col min="2" max="2" width="60.3984375" style="1" customWidth="1"/>
    <col min="3" max="3" width="12.3984375" style="1" bestFit="1" customWidth="1"/>
    <col min="4" max="4" width="11.3984375" style="1" customWidth="1"/>
    <col min="5" max="16384" width="11.3984375" style="1"/>
  </cols>
  <sheetData>
    <row r="1" spans="1:4" x14ac:dyDescent="0.45">
      <c r="A1" s="56" t="s">
        <v>0</v>
      </c>
      <c r="B1" s="130" t="s">
        <v>1</v>
      </c>
      <c r="C1" s="131"/>
      <c r="D1" s="132"/>
    </row>
    <row r="2" spans="1:4" x14ac:dyDescent="0.45">
      <c r="A2" s="59" t="s">
        <v>2</v>
      </c>
      <c r="B2" s="60" t="s">
        <v>3</v>
      </c>
      <c r="C2" s="60" t="s">
        <v>4</v>
      </c>
      <c r="D2" s="61" t="s">
        <v>5</v>
      </c>
    </row>
    <row r="3" spans="1:4" ht="30.75" customHeight="1" x14ac:dyDescent="0.45">
      <c r="A3" s="57" t="s">
        <v>6</v>
      </c>
      <c r="B3" s="62" t="s">
        <v>7</v>
      </c>
      <c r="C3" s="58" t="s">
        <v>8</v>
      </c>
      <c r="D3" s="58" t="s">
        <v>9</v>
      </c>
    </row>
    <row r="4" spans="1:4" ht="30.75" customHeight="1" x14ac:dyDescent="0.45">
      <c r="A4" s="57" t="s">
        <v>10</v>
      </c>
      <c r="B4" s="62" t="s">
        <v>11</v>
      </c>
      <c r="C4" s="58" t="s">
        <v>8</v>
      </c>
      <c r="D4" s="58" t="s">
        <v>9</v>
      </c>
    </row>
    <row r="5" spans="1:4" ht="30.75" customHeight="1" x14ac:dyDescent="0.45">
      <c r="A5" s="57" t="s">
        <v>9</v>
      </c>
      <c r="B5" s="62" t="s">
        <v>12</v>
      </c>
      <c r="C5" s="58" t="s">
        <v>8</v>
      </c>
      <c r="D5" s="58" t="s">
        <v>9</v>
      </c>
    </row>
    <row r="6" spans="1:4" x14ac:dyDescent="0.45">
      <c r="A6" s="57" t="s">
        <v>13</v>
      </c>
      <c r="B6" s="62" t="s">
        <v>14</v>
      </c>
      <c r="C6" s="58" t="s">
        <v>8</v>
      </c>
      <c r="D6" s="58" t="s">
        <v>9</v>
      </c>
    </row>
    <row r="7" spans="1:4" ht="30.75" customHeight="1" x14ac:dyDescent="0.45">
      <c r="A7" s="57" t="s">
        <v>15</v>
      </c>
      <c r="B7" s="62" t="s">
        <v>16</v>
      </c>
      <c r="C7" s="58" t="s">
        <v>8</v>
      </c>
      <c r="D7" s="58" t="s">
        <v>9</v>
      </c>
    </row>
    <row r="8" spans="1:4" ht="30.75" customHeight="1" x14ac:dyDescent="0.45">
      <c r="A8" s="57" t="s">
        <v>17</v>
      </c>
      <c r="B8" s="62" t="s">
        <v>18</v>
      </c>
      <c r="C8" s="58" t="s">
        <v>8</v>
      </c>
      <c r="D8" s="58" t="s">
        <v>9</v>
      </c>
    </row>
    <row r="9" spans="1:4" ht="30.75" customHeight="1" x14ac:dyDescent="0.45">
      <c r="A9" s="57" t="s">
        <v>19</v>
      </c>
      <c r="B9" s="62" t="s">
        <v>20</v>
      </c>
      <c r="C9" s="58" t="s">
        <v>8</v>
      </c>
      <c r="D9" s="58" t="s">
        <v>9</v>
      </c>
    </row>
    <row r="10" spans="1:4" x14ac:dyDescent="0.45">
      <c r="A10" s="57" t="s">
        <v>21</v>
      </c>
      <c r="B10" s="58" t="s">
        <v>22</v>
      </c>
      <c r="C10" s="58" t="s">
        <v>8</v>
      </c>
      <c r="D10" s="58" t="s">
        <v>9</v>
      </c>
    </row>
    <row r="11" spans="1:4" ht="30.75" customHeight="1" x14ac:dyDescent="0.45">
      <c r="A11" s="126" t="s">
        <v>23</v>
      </c>
      <c r="B11" s="127" t="s">
        <v>24</v>
      </c>
      <c r="C11" s="128" t="s">
        <v>25</v>
      </c>
      <c r="D11" s="128" t="s">
        <v>26</v>
      </c>
    </row>
    <row r="12" spans="1:4" x14ac:dyDescent="0.45">
      <c r="A12" s="57" t="s">
        <v>27</v>
      </c>
      <c r="B12" s="62" t="s">
        <v>28</v>
      </c>
      <c r="C12" s="58" t="s">
        <v>8</v>
      </c>
      <c r="D12" s="58" t="s">
        <v>9</v>
      </c>
    </row>
    <row r="13" spans="1:4" ht="30.75" customHeight="1" x14ac:dyDescent="0.45">
      <c r="A13" s="57" t="s">
        <v>29</v>
      </c>
      <c r="B13" s="62" t="s">
        <v>30</v>
      </c>
      <c r="C13" s="58" t="s">
        <v>8</v>
      </c>
      <c r="D13" s="58" t="s">
        <v>9</v>
      </c>
    </row>
    <row r="14" spans="1:4" ht="30.75" customHeight="1" x14ac:dyDescent="0.45">
      <c r="A14" s="129" t="s">
        <v>31</v>
      </c>
      <c r="B14" s="62" t="s">
        <v>32</v>
      </c>
      <c r="C14" s="58" t="s">
        <v>8</v>
      </c>
      <c r="D14" s="58" t="s">
        <v>9</v>
      </c>
    </row>
    <row r="31" ht="15.75" customHeight="1" x14ac:dyDescent="0.45"/>
  </sheetData>
  <mergeCells count="1">
    <mergeCell ref="B1:D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9" sqref="B9"/>
    </sheetView>
  </sheetViews>
  <sheetFormatPr baseColWidth="10" defaultColWidth="11.3984375" defaultRowHeight="14.25" x14ac:dyDescent="0.45"/>
  <cols>
    <col min="1" max="1" width="12.86328125" bestFit="1" customWidth="1"/>
    <col min="2" max="2" width="52.73046875" bestFit="1" customWidth="1"/>
  </cols>
  <sheetData>
    <row r="1" spans="1:2" x14ac:dyDescent="0.45">
      <c r="A1" s="133" t="s">
        <v>33</v>
      </c>
      <c r="B1" s="132"/>
    </row>
    <row r="2" spans="1:2" x14ac:dyDescent="0.45">
      <c r="A2" s="50" t="s">
        <v>4</v>
      </c>
      <c r="B2" s="51" t="s">
        <v>3</v>
      </c>
    </row>
    <row r="3" spans="1:2" x14ac:dyDescent="0.45">
      <c r="A3" s="52" t="s">
        <v>8</v>
      </c>
      <c r="B3" s="53" t="s">
        <v>34</v>
      </c>
    </row>
    <row r="4" spans="1:2" ht="15.75" customHeight="1" thickBot="1" x14ac:dyDescent="0.5">
      <c r="A4" s="54" t="s">
        <v>25</v>
      </c>
      <c r="B4" s="55" t="s">
        <v>35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"/>
  <sheetViews>
    <sheetView zoomScale="85" zoomScaleNormal="85" workbookViewId="0">
      <selection activeCell="A16" sqref="A16:B16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18.13281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36.597656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Dominio'!$A$3</f>
        <v>Departamento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x14ac:dyDescent="0.45">
      <c r="A3" s="4" t="s">
        <v>38</v>
      </c>
      <c r="B3" s="160" t="str">
        <f>'Listado Objetos de Dominio'!$B$3</f>
        <v>Indica el departamento al que pertenece la ciudad donde reside el cliente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str">
        <f>A16</f>
        <v>Consultar</v>
      </c>
      <c r="R4" s="35">
        <f>A17</f>
        <v>0</v>
      </c>
      <c r="S4" s="36">
        <f>A18</f>
        <v>0</v>
      </c>
      <c r="T4" s="2">
        <f>A19</f>
        <v>0</v>
      </c>
    </row>
    <row r="5" spans="1:20" x14ac:dyDescent="0.45">
      <c r="A5" s="11" t="s">
        <v>54</v>
      </c>
      <c r="B5" s="5" t="s">
        <v>55</v>
      </c>
      <c r="C5" s="5" t="s">
        <v>56</v>
      </c>
      <c r="D5" s="5"/>
      <c r="E5" s="5"/>
      <c r="F5" s="5" t="s">
        <v>57</v>
      </c>
      <c r="G5" s="5"/>
      <c r="H5" s="5"/>
      <c r="I5" s="5"/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60</v>
      </c>
      <c r="Q5" s="34"/>
      <c r="R5" s="23"/>
      <c r="S5" s="28"/>
      <c r="T5" s="31"/>
    </row>
    <row r="6" spans="1:20" x14ac:dyDescent="0.45">
      <c r="A6" s="11" t="s">
        <v>2</v>
      </c>
      <c r="B6" s="5" t="s">
        <v>61</v>
      </c>
      <c r="C6" s="5">
        <v>1</v>
      </c>
      <c r="D6" s="5">
        <v>50</v>
      </c>
      <c r="E6" s="5"/>
      <c r="F6" s="5"/>
      <c r="G6" s="5"/>
      <c r="H6" s="5" t="s">
        <v>62</v>
      </c>
      <c r="I6" s="5"/>
      <c r="J6" s="13"/>
      <c r="K6" s="12" t="s">
        <v>59</v>
      </c>
      <c r="L6" s="5" t="s">
        <v>59</v>
      </c>
      <c r="M6" s="5" t="s">
        <v>58</v>
      </c>
      <c r="N6" s="5"/>
      <c r="O6" s="5"/>
      <c r="P6" s="7" t="s">
        <v>63</v>
      </c>
      <c r="Q6" s="34"/>
      <c r="R6" s="23"/>
      <c r="S6" s="28"/>
      <c r="T6" s="31"/>
    </row>
    <row r="7" spans="1:20" x14ac:dyDescent="0.45">
      <c r="A7" s="11"/>
      <c r="B7" s="5"/>
      <c r="C7" s="5"/>
      <c r="D7" s="5"/>
      <c r="E7" s="5"/>
      <c r="F7" s="5"/>
      <c r="G7" s="5"/>
      <c r="H7" s="5"/>
      <c r="I7" s="5"/>
      <c r="J7" s="6"/>
      <c r="K7" s="5"/>
      <c r="L7" s="5"/>
      <c r="M7" s="5"/>
      <c r="N7" s="5"/>
      <c r="O7" s="5"/>
      <c r="P7" s="7"/>
      <c r="Q7" s="34"/>
      <c r="R7" s="23"/>
      <c r="S7" s="28"/>
      <c r="T7" s="31"/>
    </row>
    <row r="8" spans="1:20" x14ac:dyDescent="0.45">
      <c r="A8" s="11"/>
      <c r="B8" s="5"/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7"/>
      <c r="Q8" s="34"/>
      <c r="R8" s="23"/>
      <c r="S8" s="28"/>
      <c r="T8" s="31"/>
    </row>
    <row r="10" spans="1:20" x14ac:dyDescent="0.45">
      <c r="A10" s="155" t="s">
        <v>64</v>
      </c>
      <c r="B10" s="131"/>
      <c r="C10" s="132"/>
    </row>
    <row r="11" spans="1:20" x14ac:dyDescent="0.45">
      <c r="A11" s="17" t="s">
        <v>65</v>
      </c>
      <c r="B11" s="16" t="s">
        <v>3</v>
      </c>
      <c r="C11" s="18" t="s">
        <v>66</v>
      </c>
    </row>
    <row r="12" spans="1:20" ht="39" customHeight="1" x14ac:dyDescent="0.45">
      <c r="A12" s="14"/>
      <c r="B12" s="15"/>
      <c r="C12" s="38"/>
    </row>
    <row r="14" spans="1:20" x14ac:dyDescent="0.45">
      <c r="A14" s="145" t="s">
        <v>67</v>
      </c>
      <c r="B14" s="136"/>
      <c r="C14" s="134" t="s">
        <v>3</v>
      </c>
      <c r="D14" s="135"/>
      <c r="E14" s="135"/>
      <c r="F14" s="136"/>
      <c r="G14" s="134" t="s">
        <v>68</v>
      </c>
      <c r="H14" s="131"/>
      <c r="I14" s="132"/>
      <c r="J14" s="134" t="s">
        <v>69</v>
      </c>
      <c r="K14" s="131"/>
      <c r="L14" s="131"/>
      <c r="M14" s="131"/>
      <c r="N14" s="132"/>
      <c r="O14" s="134" t="s">
        <v>70</v>
      </c>
      <c r="P14" s="132"/>
      <c r="Q14" s="134" t="s">
        <v>71</v>
      </c>
      <c r="R14" s="132"/>
    </row>
    <row r="15" spans="1:20" x14ac:dyDescent="0.45">
      <c r="A15" s="146"/>
      <c r="B15" s="139"/>
      <c r="C15" s="137"/>
      <c r="D15" s="138"/>
      <c r="E15" s="138"/>
      <c r="F15" s="139"/>
      <c r="G15" s="19" t="s">
        <v>72</v>
      </c>
      <c r="H15" s="19" t="s">
        <v>73</v>
      </c>
      <c r="I15" s="19" t="s">
        <v>3</v>
      </c>
      <c r="J15" s="19" t="s">
        <v>40</v>
      </c>
      <c r="K15" s="154" t="s">
        <v>3</v>
      </c>
      <c r="L15" s="141"/>
      <c r="M15" s="141"/>
      <c r="N15" s="142"/>
      <c r="O15" s="19" t="s">
        <v>74</v>
      </c>
      <c r="P15" s="19" t="s">
        <v>3</v>
      </c>
      <c r="Q15" s="19" t="s">
        <v>75</v>
      </c>
      <c r="R15" s="25" t="s">
        <v>76</v>
      </c>
    </row>
    <row r="16" spans="1:20" ht="33" customHeight="1" x14ac:dyDescent="0.45">
      <c r="A16" s="150" t="s">
        <v>77</v>
      </c>
      <c r="B16" s="142"/>
      <c r="C16" s="152" t="s">
        <v>78</v>
      </c>
      <c r="D16" s="141"/>
      <c r="E16" s="141"/>
      <c r="F16" s="142"/>
      <c r="G16" s="20"/>
      <c r="H16" s="21"/>
      <c r="I16" s="22" t="s">
        <v>79</v>
      </c>
      <c r="J16" s="21"/>
      <c r="K16" s="152" t="s">
        <v>80</v>
      </c>
      <c r="L16" s="141"/>
      <c r="M16" s="141"/>
      <c r="N16" s="142"/>
      <c r="O16" s="22" t="s">
        <v>81</v>
      </c>
      <c r="P16" s="20"/>
      <c r="Q16" s="20" t="s">
        <v>81</v>
      </c>
      <c r="R16" s="26"/>
    </row>
    <row r="17" spans="1:18" x14ac:dyDescent="0.45">
      <c r="A17" s="158"/>
      <c r="B17" s="142"/>
      <c r="C17" s="140"/>
      <c r="D17" s="141"/>
      <c r="E17" s="141"/>
      <c r="F17" s="142"/>
      <c r="G17" s="46"/>
      <c r="H17" s="44"/>
      <c r="I17" s="45"/>
      <c r="J17" s="39"/>
      <c r="K17" s="144"/>
      <c r="L17" s="141"/>
      <c r="M17" s="141"/>
      <c r="N17" s="142"/>
      <c r="O17" s="23"/>
      <c r="P17" s="24"/>
      <c r="Q17" s="24"/>
      <c r="R17" s="27"/>
    </row>
    <row r="18" spans="1:18" x14ac:dyDescent="0.45">
      <c r="A18" s="153"/>
      <c r="B18" s="139"/>
      <c r="C18" s="149"/>
      <c r="D18" s="141"/>
      <c r="E18" s="141"/>
      <c r="F18" s="142"/>
      <c r="G18" s="42"/>
      <c r="H18" s="40"/>
      <c r="I18" s="41"/>
      <c r="J18" s="43"/>
      <c r="K18" s="151"/>
      <c r="L18" s="141"/>
      <c r="M18" s="141"/>
      <c r="N18" s="142"/>
      <c r="O18" s="28"/>
      <c r="P18" s="29"/>
      <c r="Q18" s="29"/>
      <c r="R18" s="30"/>
    </row>
    <row r="19" spans="1:18" x14ac:dyDescent="0.45">
      <c r="A19" s="159"/>
      <c r="B19" s="142"/>
      <c r="C19" s="147"/>
      <c r="D19" s="141"/>
      <c r="E19" s="141"/>
      <c r="F19" s="142"/>
      <c r="G19" s="48"/>
      <c r="H19" s="49"/>
      <c r="I19" s="47"/>
      <c r="J19" s="48"/>
      <c r="K19" s="148"/>
      <c r="L19" s="141"/>
      <c r="M19" s="141"/>
      <c r="N19" s="142"/>
      <c r="O19" s="31"/>
      <c r="P19" s="32"/>
      <c r="Q19" s="32"/>
      <c r="R19" s="33"/>
    </row>
  </sheetData>
  <mergeCells count="23">
    <mergeCell ref="A1:P1"/>
    <mergeCell ref="C16:F16"/>
    <mergeCell ref="A17:B17"/>
    <mergeCell ref="A19:B19"/>
    <mergeCell ref="B3:P3"/>
    <mergeCell ref="O14:P14"/>
    <mergeCell ref="Q14:R14"/>
    <mergeCell ref="K16:N16"/>
    <mergeCell ref="A18:B18"/>
    <mergeCell ref="K15:N15"/>
    <mergeCell ref="A10:C10"/>
    <mergeCell ref="C19:F19"/>
    <mergeCell ref="K19:N19"/>
    <mergeCell ref="C18:F18"/>
    <mergeCell ref="A16:B16"/>
    <mergeCell ref="K18:N18"/>
    <mergeCell ref="C14:F15"/>
    <mergeCell ref="C17:F17"/>
    <mergeCell ref="B2:P2"/>
    <mergeCell ref="K17:N17"/>
    <mergeCell ref="J14:N14"/>
    <mergeCell ref="A14:B15"/>
    <mergeCell ref="G14:I14"/>
  </mergeCells>
  <hyperlinks>
    <hyperlink ref="A1" location="'Listado Objetos de Dominio'!A1" display="&lt;-Volver al inicio" xr:uid="{00000000-0004-0000-0300-000000000000}"/>
    <hyperlink ref="Q4" location="'Objeto Dominio 2'!A16" display="'Objeto Dominio 2'!A16" xr:uid="{00000000-0004-0000-0300-000001000000}"/>
    <hyperlink ref="R4" location="'Objeto Dominio 2'!A17" display="'Objeto Dominio 2'!A17" xr:uid="{00000000-0004-0000-0300-000002000000}"/>
    <hyperlink ref="S4" location="'Objeto Dominio 2'!A18" display="'Objeto Dominio 2'!A18" xr:uid="{00000000-0004-0000-0300-000003000000}"/>
    <hyperlink ref="T4" location="'Objeto Dominio 2'!A19" display="'Objeto Dominio 2'!A19" xr:uid="{00000000-0004-0000-0300-000004000000}"/>
    <hyperlink ref="A16" location="'Objeto Dominio 2'!Q4" display="Reponsabilidad 1" xr:uid="{00000000-0004-0000-0300-000005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4"/>
  <sheetViews>
    <sheetView zoomScaleNormal="100" workbookViewId="0">
      <selection activeCell="B13" sqref="B13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Dominio'!$A$5</f>
        <v>Usuario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ht="15.75" customHeight="1" thickBot="1" x14ac:dyDescent="0.5">
      <c r="A3" s="4" t="s">
        <v>38</v>
      </c>
      <c r="B3" s="160" t="str">
        <f>'Listado Objetos de Dominio'!$B$5</f>
        <v>Describe al usuario que realiza las solicitudes de cotización en la aplicación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str">
        <f>A21</f>
        <v>loginUser</v>
      </c>
      <c r="R4" s="35" t="str">
        <f>A22</f>
        <v>registerUser</v>
      </c>
      <c r="S4" s="36" t="str">
        <f>A23</f>
        <v>getUser</v>
      </c>
      <c r="T4" s="2" t="str">
        <f>A24</f>
        <v>updateUser</v>
      </c>
    </row>
    <row r="5" spans="1:20" x14ac:dyDescent="0.45">
      <c r="A5" s="11" t="s">
        <v>82</v>
      </c>
      <c r="B5" s="5" t="s">
        <v>83</v>
      </c>
      <c r="C5" s="176">
        <v>36</v>
      </c>
      <c r="D5" s="176">
        <v>36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 t="s">
        <v>87</v>
      </c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88</v>
      </c>
      <c r="Q5" s="34"/>
      <c r="R5" s="23"/>
      <c r="S5" s="28"/>
      <c r="T5" s="31"/>
    </row>
    <row r="6" spans="1:20" x14ac:dyDescent="0.45">
      <c r="A6" s="11" t="s">
        <v>89</v>
      </c>
      <c r="B6" s="5" t="s">
        <v>90</v>
      </c>
      <c r="C6" s="176">
        <v>5</v>
      </c>
      <c r="D6" s="176">
        <v>20</v>
      </c>
      <c r="E6" s="5" t="s">
        <v>85</v>
      </c>
      <c r="F6" s="5" t="s">
        <v>85</v>
      </c>
      <c r="G6" s="5" t="s">
        <v>85</v>
      </c>
      <c r="H6" s="5" t="s">
        <v>91</v>
      </c>
      <c r="I6" s="5" t="s">
        <v>85</v>
      </c>
      <c r="J6" s="13" t="s">
        <v>92</v>
      </c>
      <c r="K6" s="12" t="s">
        <v>59</v>
      </c>
      <c r="L6" s="5" t="s">
        <v>59</v>
      </c>
      <c r="M6" s="5" t="s">
        <v>58</v>
      </c>
      <c r="N6" s="5" t="s">
        <v>59</v>
      </c>
      <c r="O6" s="5" t="s">
        <v>59</v>
      </c>
      <c r="P6" s="7" t="s">
        <v>93</v>
      </c>
      <c r="Q6" s="34"/>
      <c r="R6" s="23"/>
      <c r="S6" s="28"/>
      <c r="T6" s="31"/>
    </row>
    <row r="7" spans="1:20" x14ac:dyDescent="0.45">
      <c r="A7" s="11" t="s">
        <v>94</v>
      </c>
      <c r="B7" s="5" t="s">
        <v>90</v>
      </c>
      <c r="C7" s="176">
        <v>1</v>
      </c>
      <c r="D7" s="176">
        <v>100</v>
      </c>
      <c r="E7" s="5" t="s">
        <v>85</v>
      </c>
      <c r="F7" s="5" t="s">
        <v>85</v>
      </c>
      <c r="G7" s="5" t="s">
        <v>85</v>
      </c>
      <c r="H7" s="5" t="s">
        <v>61</v>
      </c>
      <c r="I7" s="5" t="s">
        <v>85</v>
      </c>
      <c r="J7" s="6" t="s">
        <v>85</v>
      </c>
      <c r="K7" s="5" t="s">
        <v>59</v>
      </c>
      <c r="L7" s="5" t="s">
        <v>59</v>
      </c>
      <c r="M7" s="5" t="s">
        <v>58</v>
      </c>
      <c r="N7" s="5" t="s">
        <v>59</v>
      </c>
      <c r="O7" s="5" t="s">
        <v>59</v>
      </c>
      <c r="P7" s="7" t="s">
        <v>97</v>
      </c>
      <c r="Q7" s="34"/>
      <c r="R7" s="23"/>
      <c r="S7" s="28"/>
      <c r="T7" s="31"/>
    </row>
    <row r="8" spans="1:20" x14ac:dyDescent="0.45">
      <c r="A8" s="69" t="s">
        <v>412</v>
      </c>
      <c r="B8" s="70" t="s">
        <v>90</v>
      </c>
      <c r="C8" s="177">
        <v>1</v>
      </c>
      <c r="D8" s="177">
        <v>100</v>
      </c>
      <c r="E8" s="70" t="s">
        <v>85</v>
      </c>
      <c r="F8" s="70" t="s">
        <v>85</v>
      </c>
      <c r="G8" s="70" t="s">
        <v>85</v>
      </c>
      <c r="H8" s="70" t="s">
        <v>61</v>
      </c>
      <c r="I8" s="70" t="s">
        <v>85</v>
      </c>
      <c r="J8" s="71" t="s">
        <v>85</v>
      </c>
      <c r="K8" s="70" t="s">
        <v>59</v>
      </c>
      <c r="L8" s="70" t="s">
        <v>59</v>
      </c>
      <c r="M8" s="70" t="s">
        <v>58</v>
      </c>
      <c r="N8" s="70" t="s">
        <v>59</v>
      </c>
      <c r="O8" s="70" t="s">
        <v>59</v>
      </c>
      <c r="P8" s="72" t="s">
        <v>98</v>
      </c>
      <c r="Q8" s="73"/>
      <c r="R8" s="74"/>
      <c r="S8" s="75"/>
      <c r="T8" s="76"/>
    </row>
    <row r="9" spans="1:20" ht="27" customHeight="1" x14ac:dyDescent="0.45">
      <c r="A9" s="90" t="s">
        <v>413</v>
      </c>
      <c r="B9" s="90" t="s">
        <v>90</v>
      </c>
      <c r="C9" s="179">
        <v>5</v>
      </c>
      <c r="D9" s="179">
        <v>150</v>
      </c>
      <c r="E9" s="90" t="s">
        <v>85</v>
      </c>
      <c r="F9" s="90" t="s">
        <v>85</v>
      </c>
      <c r="G9" s="90" t="s">
        <v>85</v>
      </c>
      <c r="H9" s="90" t="s">
        <v>99</v>
      </c>
      <c r="I9" s="90" t="s">
        <v>85</v>
      </c>
      <c r="J9" s="91" t="s">
        <v>100</v>
      </c>
      <c r="K9" s="90" t="s">
        <v>59</v>
      </c>
      <c r="L9" s="90" t="s">
        <v>59</v>
      </c>
      <c r="M9" s="90" t="s">
        <v>58</v>
      </c>
      <c r="N9" s="90" t="s">
        <v>59</v>
      </c>
      <c r="O9" s="90" t="s">
        <v>59</v>
      </c>
      <c r="P9" s="92" t="s">
        <v>101</v>
      </c>
      <c r="Q9" s="93"/>
      <c r="R9" s="66"/>
      <c r="S9" s="67"/>
      <c r="T9" s="68"/>
    </row>
    <row r="10" spans="1:20" ht="27" customHeight="1" x14ac:dyDescent="0.45">
      <c r="A10" s="5" t="s">
        <v>414</v>
      </c>
      <c r="B10" s="5" t="s">
        <v>102</v>
      </c>
      <c r="C10" s="176">
        <v>8</v>
      </c>
      <c r="D10" s="176">
        <v>100</v>
      </c>
      <c r="E10" s="5" t="s">
        <v>85</v>
      </c>
      <c r="F10" s="5" t="s">
        <v>85</v>
      </c>
      <c r="G10" s="5" t="s">
        <v>85</v>
      </c>
      <c r="H10" s="5" t="s">
        <v>103</v>
      </c>
      <c r="I10" s="5" t="s">
        <v>85</v>
      </c>
      <c r="J10" s="13" t="s">
        <v>104</v>
      </c>
      <c r="K10" s="5" t="s">
        <v>59</v>
      </c>
      <c r="L10" s="5" t="s">
        <v>59</v>
      </c>
      <c r="M10" s="5" t="s">
        <v>58</v>
      </c>
      <c r="N10" s="5" t="s">
        <v>58</v>
      </c>
      <c r="O10" s="5" t="s">
        <v>59</v>
      </c>
      <c r="P10" s="7" t="s">
        <v>105</v>
      </c>
      <c r="Q10" s="34"/>
      <c r="R10" s="180"/>
      <c r="S10" s="95"/>
      <c r="T10" s="96"/>
    </row>
    <row r="11" spans="1:20" ht="27" customHeight="1" x14ac:dyDescent="0.45">
      <c r="A11" s="5" t="s">
        <v>415</v>
      </c>
      <c r="B11" s="5" t="s">
        <v>415</v>
      </c>
      <c r="C11" s="5" t="s">
        <v>85</v>
      </c>
      <c r="D11" s="5" t="s">
        <v>85</v>
      </c>
      <c r="E11" s="5" t="s">
        <v>85</v>
      </c>
      <c r="F11" s="5" t="s">
        <v>85</v>
      </c>
      <c r="G11" s="5" t="s">
        <v>85</v>
      </c>
      <c r="H11" s="5" t="s">
        <v>61</v>
      </c>
      <c r="I11" s="5" t="s">
        <v>85</v>
      </c>
      <c r="J11" s="13" t="s">
        <v>106</v>
      </c>
      <c r="K11" s="5" t="s">
        <v>59</v>
      </c>
      <c r="L11" s="5" t="s">
        <v>59</v>
      </c>
      <c r="M11" s="5" t="s">
        <v>58</v>
      </c>
      <c r="N11" s="5" t="s">
        <v>59</v>
      </c>
      <c r="O11" s="5" t="s">
        <v>59</v>
      </c>
      <c r="P11" s="7" t="s">
        <v>107</v>
      </c>
      <c r="Q11" s="34"/>
      <c r="R11" s="106"/>
      <c r="S11" s="107"/>
      <c r="T11" s="108"/>
    </row>
    <row r="12" spans="1:20" x14ac:dyDescent="0.45">
      <c r="A12" s="5" t="s">
        <v>416</v>
      </c>
      <c r="B12" s="5" t="s">
        <v>416</v>
      </c>
      <c r="C12" s="5" t="s">
        <v>85</v>
      </c>
      <c r="D12" s="5" t="s">
        <v>85</v>
      </c>
      <c r="E12" s="5" t="s">
        <v>85</v>
      </c>
      <c r="F12" s="5" t="s">
        <v>85</v>
      </c>
      <c r="G12" s="5" t="s">
        <v>85</v>
      </c>
      <c r="H12" s="5" t="s">
        <v>61</v>
      </c>
      <c r="I12" s="5" t="s">
        <v>85</v>
      </c>
      <c r="J12" s="13" t="s">
        <v>108</v>
      </c>
      <c r="K12" s="5" t="s">
        <v>59</v>
      </c>
      <c r="L12" s="5" t="s">
        <v>59</v>
      </c>
      <c r="M12" s="5" t="s">
        <v>58</v>
      </c>
      <c r="N12" s="5" t="s">
        <v>59</v>
      </c>
      <c r="O12" s="5" t="s">
        <v>59</v>
      </c>
      <c r="P12" s="7" t="s">
        <v>109</v>
      </c>
      <c r="Q12" s="34"/>
      <c r="R12" s="106"/>
      <c r="S12" s="107"/>
      <c r="T12" s="108"/>
    </row>
    <row r="13" spans="1:20" x14ac:dyDescent="0.45">
      <c r="A13" s="70" t="s">
        <v>417</v>
      </c>
      <c r="B13" s="70" t="s">
        <v>110</v>
      </c>
      <c r="C13" s="70" t="s">
        <v>85</v>
      </c>
      <c r="D13" s="70" t="s">
        <v>85</v>
      </c>
      <c r="E13" s="70" t="s">
        <v>85</v>
      </c>
      <c r="F13" s="70" t="s">
        <v>85</v>
      </c>
      <c r="G13" s="70" t="s">
        <v>85</v>
      </c>
      <c r="H13" s="70" t="s">
        <v>111</v>
      </c>
      <c r="I13" s="70" t="s">
        <v>112</v>
      </c>
      <c r="J13" s="101" t="s">
        <v>113</v>
      </c>
      <c r="K13" s="70" t="s">
        <v>59</v>
      </c>
      <c r="L13" s="70" t="s">
        <v>59</v>
      </c>
      <c r="M13" s="70" t="s">
        <v>58</v>
      </c>
      <c r="N13" s="70" t="s">
        <v>59</v>
      </c>
      <c r="O13" s="70" t="s">
        <v>59</v>
      </c>
      <c r="P13" s="72" t="s">
        <v>114</v>
      </c>
      <c r="Q13" s="73"/>
      <c r="R13" s="106"/>
      <c r="S13" s="107"/>
      <c r="T13" s="108"/>
    </row>
    <row r="14" spans="1:20" ht="15.75" customHeight="1" x14ac:dyDescent="0.45">
      <c r="A14" s="183" t="s">
        <v>418</v>
      </c>
      <c r="B14" s="183" t="s">
        <v>83</v>
      </c>
      <c r="C14" s="183" t="s">
        <v>85</v>
      </c>
      <c r="D14" s="183" t="s">
        <v>85</v>
      </c>
      <c r="E14" s="183" t="s">
        <v>85</v>
      </c>
      <c r="F14" s="183" t="s">
        <v>85</v>
      </c>
      <c r="G14" s="183" t="s">
        <v>85</v>
      </c>
      <c r="H14" s="183" t="s">
        <v>86</v>
      </c>
      <c r="I14" s="183" t="s">
        <v>85</v>
      </c>
      <c r="J14" s="183" t="s">
        <v>115</v>
      </c>
      <c r="K14" s="183" t="s">
        <v>59</v>
      </c>
      <c r="L14" s="183" t="s">
        <v>59</v>
      </c>
      <c r="M14" s="183" t="s">
        <v>59</v>
      </c>
      <c r="N14" s="183" t="s">
        <v>59</v>
      </c>
      <c r="O14" s="183" t="s">
        <v>59</v>
      </c>
      <c r="P14" s="183" t="s">
        <v>116</v>
      </c>
      <c r="Q14" s="184"/>
      <c r="R14" s="184"/>
      <c r="S14" s="184"/>
      <c r="T14" s="184"/>
    </row>
    <row r="15" spans="1:20" x14ac:dyDescent="0.45">
      <c r="A15" s="5" t="s">
        <v>421</v>
      </c>
      <c r="B15" s="189" t="s">
        <v>83</v>
      </c>
      <c r="C15" s="189"/>
      <c r="D15" s="183" t="s">
        <v>85</v>
      </c>
      <c r="E15" s="183" t="s">
        <v>85</v>
      </c>
      <c r="F15" s="183" t="s">
        <v>85</v>
      </c>
      <c r="G15" s="183" t="s">
        <v>85</v>
      </c>
      <c r="H15" s="183" t="s">
        <v>86</v>
      </c>
      <c r="I15" s="183" t="s">
        <v>85</v>
      </c>
      <c r="J15" s="183" t="s">
        <v>117</v>
      </c>
      <c r="K15" s="183" t="s">
        <v>59</v>
      </c>
      <c r="L15" s="183" t="s">
        <v>59</v>
      </c>
      <c r="M15" s="183" t="s">
        <v>59</v>
      </c>
      <c r="N15" s="183" t="s">
        <v>59</v>
      </c>
      <c r="O15" s="183" t="s">
        <v>59</v>
      </c>
      <c r="P15" s="183" t="s">
        <v>118</v>
      </c>
      <c r="Q15" s="184"/>
      <c r="R15" s="184"/>
      <c r="S15" s="184"/>
      <c r="T15" s="184"/>
    </row>
    <row r="16" spans="1:20" x14ac:dyDescent="0.45">
      <c r="A16" s="12" t="s">
        <v>420</v>
      </c>
      <c r="B16" s="12" t="s">
        <v>419</v>
      </c>
      <c r="C16" s="185" t="s">
        <v>85</v>
      </c>
      <c r="D16" s="183" t="s">
        <v>85</v>
      </c>
      <c r="E16" s="183" t="s">
        <v>85</v>
      </c>
      <c r="F16" s="183" t="s">
        <v>85</v>
      </c>
      <c r="G16" s="183" t="s">
        <v>85</v>
      </c>
      <c r="H16" s="183" t="s">
        <v>120</v>
      </c>
      <c r="I16" s="183" t="s">
        <v>85</v>
      </c>
      <c r="J16" s="183" t="s">
        <v>121</v>
      </c>
      <c r="K16" s="183" t="s">
        <v>59</v>
      </c>
      <c r="L16" s="183" t="s">
        <v>59</v>
      </c>
      <c r="M16" s="183" t="s">
        <v>59</v>
      </c>
      <c r="N16" s="183" t="s">
        <v>59</v>
      </c>
      <c r="O16" s="183" t="s">
        <v>59</v>
      </c>
      <c r="P16" s="183" t="s">
        <v>122</v>
      </c>
      <c r="Q16" s="184"/>
      <c r="R16" s="184"/>
      <c r="S16" s="184"/>
      <c r="T16" s="184"/>
    </row>
    <row r="17" spans="1:18" ht="39" customHeight="1" thickBot="1" x14ac:dyDescent="0.5">
      <c r="A17" s="186"/>
      <c r="B17" s="187"/>
      <c r="C17" s="188"/>
    </row>
    <row r="18" spans="1:18" ht="15.75" customHeight="1" thickBot="1" x14ac:dyDescent="0.5"/>
    <row r="19" spans="1:18" x14ac:dyDescent="0.45">
      <c r="A19" s="145" t="s">
        <v>67</v>
      </c>
      <c r="B19" s="136"/>
      <c r="C19" s="134" t="s">
        <v>3</v>
      </c>
      <c r="D19" s="135"/>
      <c r="E19" s="135"/>
      <c r="F19" s="136"/>
      <c r="G19" s="134" t="s">
        <v>68</v>
      </c>
      <c r="H19" s="131"/>
      <c r="I19" s="132"/>
      <c r="J19" s="134" t="s">
        <v>69</v>
      </c>
      <c r="K19" s="131"/>
      <c r="L19" s="131"/>
      <c r="M19" s="131"/>
      <c r="N19" s="132"/>
      <c r="O19" s="134" t="s">
        <v>70</v>
      </c>
      <c r="P19" s="132"/>
      <c r="Q19" s="134" t="s">
        <v>71</v>
      </c>
      <c r="R19" s="132"/>
    </row>
    <row r="20" spans="1:18" x14ac:dyDescent="0.45">
      <c r="A20" s="146"/>
      <c r="B20" s="139"/>
      <c r="C20" s="137"/>
      <c r="D20" s="138"/>
      <c r="E20" s="138"/>
      <c r="F20" s="139"/>
      <c r="G20" s="19" t="s">
        <v>72</v>
      </c>
      <c r="H20" s="19" t="s">
        <v>73</v>
      </c>
      <c r="I20" s="19" t="s">
        <v>3</v>
      </c>
      <c r="J20" s="19" t="s">
        <v>40</v>
      </c>
      <c r="K20" s="154" t="s">
        <v>3</v>
      </c>
      <c r="L20" s="141"/>
      <c r="M20" s="141"/>
      <c r="N20" s="142"/>
      <c r="O20" s="19" t="s">
        <v>74</v>
      </c>
      <c r="P20" s="19" t="s">
        <v>3</v>
      </c>
      <c r="Q20" s="19" t="s">
        <v>75</v>
      </c>
      <c r="R20" s="25" t="s">
        <v>76</v>
      </c>
    </row>
    <row r="21" spans="1:18" x14ac:dyDescent="0.45">
      <c r="A21" s="150" t="s">
        <v>123</v>
      </c>
      <c r="B21" s="142"/>
      <c r="C21" s="152" t="s">
        <v>124</v>
      </c>
      <c r="D21" s="141"/>
      <c r="E21" s="141"/>
      <c r="F21" s="142"/>
      <c r="G21" s="20" t="s">
        <v>125</v>
      </c>
      <c r="H21" s="21"/>
      <c r="I21" s="22"/>
      <c r="J21" s="21" t="s">
        <v>126</v>
      </c>
      <c r="K21" s="152" t="s">
        <v>127</v>
      </c>
      <c r="L21" s="141"/>
      <c r="M21" s="141"/>
      <c r="N21" s="142"/>
      <c r="O21" s="20" t="s">
        <v>128</v>
      </c>
      <c r="P21" s="20"/>
      <c r="Q21" s="20" t="s">
        <v>129</v>
      </c>
      <c r="R21" s="26"/>
    </row>
    <row r="22" spans="1:18" ht="30" customHeight="1" x14ac:dyDescent="0.45">
      <c r="A22" s="158" t="s">
        <v>130</v>
      </c>
      <c r="B22" s="142"/>
      <c r="C22" s="140" t="s">
        <v>131</v>
      </c>
      <c r="D22" s="141"/>
      <c r="E22" s="141"/>
      <c r="F22" s="142"/>
      <c r="G22" s="46" t="s">
        <v>132</v>
      </c>
      <c r="H22" s="44"/>
      <c r="I22" s="45"/>
      <c r="J22" s="39" t="s">
        <v>126</v>
      </c>
      <c r="K22" s="144" t="s">
        <v>133</v>
      </c>
      <c r="L22" s="141"/>
      <c r="M22" s="141"/>
      <c r="N22" s="142"/>
      <c r="O22" s="23" t="s">
        <v>134</v>
      </c>
      <c r="P22" s="24"/>
      <c r="Q22" s="24" t="s">
        <v>135</v>
      </c>
      <c r="R22" s="27"/>
    </row>
    <row r="23" spans="1:18" x14ac:dyDescent="0.45">
      <c r="A23" s="153" t="s">
        <v>136</v>
      </c>
      <c r="B23" s="139"/>
      <c r="C23" s="149" t="s">
        <v>137</v>
      </c>
      <c r="D23" s="141"/>
      <c r="E23" s="141"/>
      <c r="F23" s="142"/>
      <c r="G23" s="42" t="s">
        <v>138</v>
      </c>
      <c r="H23" s="40"/>
      <c r="I23" s="41"/>
      <c r="J23" s="43" t="s">
        <v>126</v>
      </c>
      <c r="K23" s="151" t="s">
        <v>139</v>
      </c>
      <c r="L23" s="141"/>
      <c r="M23" s="141"/>
      <c r="N23" s="142"/>
      <c r="O23" s="28" t="s">
        <v>140</v>
      </c>
      <c r="P23" s="29"/>
      <c r="Q23" s="29" t="s">
        <v>141</v>
      </c>
      <c r="R23" s="30"/>
    </row>
    <row r="24" spans="1:18" ht="26.25" customHeight="1" x14ac:dyDescent="0.45">
      <c r="A24" s="161" t="s">
        <v>142</v>
      </c>
      <c r="B24" s="162"/>
      <c r="C24" s="173" t="s">
        <v>143</v>
      </c>
      <c r="D24" s="172"/>
      <c r="E24" s="172"/>
      <c r="F24" s="162"/>
      <c r="G24" s="84" t="s">
        <v>144</v>
      </c>
      <c r="H24" s="85" t="s">
        <v>145</v>
      </c>
      <c r="I24" s="83"/>
      <c r="J24" s="84" t="s">
        <v>126</v>
      </c>
      <c r="K24" s="171" t="s">
        <v>146</v>
      </c>
      <c r="L24" s="172"/>
      <c r="M24" s="172"/>
      <c r="N24" s="162"/>
      <c r="O24" s="76" t="s">
        <v>147</v>
      </c>
      <c r="P24" s="86"/>
      <c r="Q24" s="86" t="s">
        <v>148</v>
      </c>
      <c r="R24" s="88"/>
    </row>
    <row r="25" spans="1:18" ht="26.25" customHeight="1" x14ac:dyDescent="0.45">
      <c r="A25" s="168" t="s">
        <v>149</v>
      </c>
      <c r="B25" s="167"/>
      <c r="C25" s="165" t="s">
        <v>150</v>
      </c>
      <c r="D25" s="166"/>
      <c r="E25" s="166"/>
      <c r="F25" s="167"/>
      <c r="G25" s="78" t="s">
        <v>138</v>
      </c>
      <c r="H25" s="79"/>
      <c r="I25" s="80"/>
      <c r="J25" s="78" t="s">
        <v>126</v>
      </c>
      <c r="K25" s="81" t="s">
        <v>151</v>
      </c>
      <c r="L25" s="81"/>
      <c r="M25" s="81"/>
      <c r="N25" s="81"/>
      <c r="O25" s="68" t="s">
        <v>152</v>
      </c>
      <c r="P25" s="82"/>
      <c r="Q25" s="87" t="s">
        <v>153</v>
      </c>
      <c r="R25" s="68"/>
    </row>
    <row r="26" spans="1:18" ht="29.25" customHeight="1" x14ac:dyDescent="0.45">
      <c r="A26" s="168"/>
      <c r="B26" s="167"/>
      <c r="C26" s="165"/>
      <c r="D26" s="166"/>
      <c r="E26" s="166"/>
      <c r="F26" s="167"/>
      <c r="G26" s="78"/>
      <c r="H26" s="79"/>
      <c r="I26" s="80"/>
      <c r="J26" s="78"/>
      <c r="K26" s="81"/>
      <c r="L26" s="81"/>
      <c r="M26" s="81"/>
      <c r="N26" s="81"/>
      <c r="O26" s="68"/>
      <c r="P26" s="82"/>
      <c r="Q26" s="87"/>
      <c r="R26" s="68"/>
    </row>
    <row r="27" spans="1:18" ht="29.25" customHeight="1" x14ac:dyDescent="0.45">
      <c r="A27" s="168"/>
      <c r="B27" s="167"/>
      <c r="C27" s="165"/>
      <c r="D27" s="166"/>
      <c r="E27" s="166"/>
      <c r="F27" s="167"/>
      <c r="G27" s="78"/>
      <c r="H27" s="79"/>
      <c r="I27" s="80"/>
      <c r="J27" s="78"/>
      <c r="K27" s="81"/>
      <c r="L27" s="81"/>
      <c r="M27" s="81"/>
      <c r="N27" s="81"/>
      <c r="O27" s="68"/>
      <c r="P27" s="82"/>
      <c r="Q27" s="87"/>
      <c r="R27" s="68"/>
    </row>
    <row r="28" spans="1:18" ht="29.25" customHeight="1" x14ac:dyDescent="0.45">
      <c r="A28" s="168"/>
      <c r="B28" s="167"/>
      <c r="C28" s="165"/>
      <c r="D28" s="166"/>
      <c r="E28" s="166"/>
      <c r="F28" s="167"/>
      <c r="G28" s="78"/>
      <c r="H28" s="79"/>
      <c r="I28" s="80"/>
      <c r="J28" s="78"/>
      <c r="K28" s="81"/>
      <c r="L28" s="81"/>
      <c r="M28" s="81"/>
      <c r="N28" s="81"/>
      <c r="O28" s="68"/>
      <c r="P28" s="82"/>
      <c r="Q28" s="87"/>
      <c r="R28" s="68"/>
    </row>
    <row r="29" spans="1:18" ht="29.25" customHeight="1" x14ac:dyDescent="0.45">
      <c r="A29" s="168"/>
      <c r="B29" s="167"/>
      <c r="C29" s="165"/>
      <c r="D29" s="166"/>
      <c r="E29" s="166"/>
      <c r="F29" s="167"/>
      <c r="G29" s="78"/>
      <c r="H29" s="79"/>
      <c r="I29" s="80"/>
      <c r="J29" s="78"/>
      <c r="K29" s="81"/>
      <c r="L29" s="81"/>
      <c r="M29" s="81"/>
      <c r="N29" s="81"/>
      <c r="O29" s="68"/>
      <c r="P29" s="82"/>
      <c r="Q29" s="87"/>
      <c r="R29" s="68"/>
    </row>
    <row r="30" spans="1:18" ht="29.25" customHeight="1" x14ac:dyDescent="0.45">
      <c r="A30" s="163"/>
      <c r="B30" s="164"/>
      <c r="C30" s="169"/>
      <c r="D30" s="170"/>
      <c r="E30" s="170"/>
      <c r="F30" s="164"/>
      <c r="G30" s="112"/>
      <c r="H30" s="113"/>
      <c r="I30" s="114"/>
      <c r="J30" s="111"/>
      <c r="K30" s="113"/>
      <c r="L30" s="115"/>
      <c r="M30" s="115"/>
      <c r="N30" s="115"/>
      <c r="O30" s="115"/>
      <c r="P30" s="96"/>
      <c r="Q30" s="112"/>
      <c r="R30" s="116"/>
    </row>
    <row r="31" spans="1:18" s="110" customFormat="1" ht="29.25" customHeight="1" x14ac:dyDescent="0.45">
      <c r="A31" s="168"/>
      <c r="B31" s="167"/>
      <c r="C31" s="165"/>
      <c r="D31" s="166"/>
      <c r="E31" s="166"/>
      <c r="F31" s="167"/>
      <c r="G31" s="82"/>
      <c r="H31" s="78"/>
      <c r="I31" s="79"/>
      <c r="J31" s="80"/>
      <c r="K31" s="78"/>
      <c r="L31" s="81"/>
      <c r="M31" s="81"/>
      <c r="N31" s="81"/>
      <c r="O31" s="81"/>
      <c r="P31" s="68"/>
      <c r="Q31" s="82"/>
      <c r="R31" s="82"/>
    </row>
    <row r="32" spans="1:18" s="110" customFormat="1" ht="29.25" customHeight="1" x14ac:dyDescent="0.45">
      <c r="A32" s="168"/>
      <c r="B32" s="167"/>
      <c r="C32" s="165"/>
      <c r="D32" s="166"/>
      <c r="E32" s="166"/>
      <c r="F32" s="167"/>
      <c r="G32" s="82"/>
      <c r="H32" s="78"/>
      <c r="I32" s="79"/>
      <c r="J32" s="80"/>
      <c r="K32" s="78"/>
      <c r="L32" s="81"/>
      <c r="M32" s="81"/>
      <c r="N32" s="81"/>
      <c r="O32" s="81"/>
      <c r="P32" s="68"/>
      <c r="Q32" s="82"/>
      <c r="R32" s="82"/>
    </row>
    <row r="33" spans="1:18" s="110" customFormat="1" ht="29.25" customHeight="1" x14ac:dyDescent="0.45">
      <c r="A33" s="168"/>
      <c r="B33" s="167"/>
      <c r="C33" s="165"/>
      <c r="D33" s="166"/>
      <c r="E33" s="166"/>
      <c r="F33" s="167"/>
      <c r="G33" s="82"/>
      <c r="H33" s="78"/>
      <c r="I33" s="79"/>
      <c r="J33" s="80"/>
      <c r="K33" s="78"/>
      <c r="L33" s="81"/>
      <c r="M33" s="81"/>
      <c r="N33" s="81"/>
      <c r="O33" s="81"/>
      <c r="P33" s="68"/>
      <c r="Q33" s="82"/>
      <c r="R33" s="82"/>
    </row>
    <row r="34" spans="1:18" s="110" customFormat="1" ht="29.25" customHeight="1" x14ac:dyDescent="0.45">
      <c r="A34" s="168"/>
      <c r="B34" s="167"/>
      <c r="C34" s="165"/>
      <c r="D34" s="166"/>
      <c r="E34" s="166"/>
      <c r="F34" s="167"/>
      <c r="G34" s="82"/>
      <c r="H34" s="78"/>
      <c r="I34" s="79"/>
      <c r="J34" s="80"/>
      <c r="K34" s="78"/>
      <c r="L34" s="81"/>
      <c r="M34" s="81"/>
      <c r="N34" s="81"/>
      <c r="O34" s="81"/>
      <c r="P34" s="68"/>
      <c r="Q34" s="82"/>
      <c r="R34" s="82"/>
    </row>
  </sheetData>
  <mergeCells count="42">
    <mergeCell ref="A1:P1"/>
    <mergeCell ref="A33:B33"/>
    <mergeCell ref="K21:N21"/>
    <mergeCell ref="C26:F26"/>
    <mergeCell ref="K20:N20"/>
    <mergeCell ref="A32:B32"/>
    <mergeCell ref="C29:F29"/>
    <mergeCell ref="C25:F25"/>
    <mergeCell ref="A23:B23"/>
    <mergeCell ref="C19:F20"/>
    <mergeCell ref="A22:B22"/>
    <mergeCell ref="C22:F22"/>
    <mergeCell ref="C31:F31"/>
    <mergeCell ref="K22:N22"/>
    <mergeCell ref="A29:B29"/>
    <mergeCell ref="Q19:R19"/>
    <mergeCell ref="K24:N24"/>
    <mergeCell ref="C24:F24"/>
    <mergeCell ref="A27:B27"/>
    <mergeCell ref="A26:B26"/>
    <mergeCell ref="A21:B21"/>
    <mergeCell ref="C21:F21"/>
    <mergeCell ref="C27:F27"/>
    <mergeCell ref="C32:F32"/>
    <mergeCell ref="C28:F28"/>
    <mergeCell ref="A25:B25"/>
    <mergeCell ref="C34:F34"/>
    <mergeCell ref="A19:B20"/>
    <mergeCell ref="C30:F30"/>
    <mergeCell ref="C33:F33"/>
    <mergeCell ref="A28:B28"/>
    <mergeCell ref="A31:B31"/>
    <mergeCell ref="A34:B34"/>
    <mergeCell ref="K23:N23"/>
    <mergeCell ref="A24:B24"/>
    <mergeCell ref="A30:B30"/>
    <mergeCell ref="C23:F23"/>
    <mergeCell ref="B2:P2"/>
    <mergeCell ref="O19:P19"/>
    <mergeCell ref="G19:I19"/>
    <mergeCell ref="J19:N19"/>
    <mergeCell ref="B3:P3"/>
  </mergeCells>
  <hyperlinks>
    <hyperlink ref="A1" location="'Listado Objetos de Dominio'!A1" display="&lt;-Volver al inicio" xr:uid="{00000000-0004-0000-0400-000000000000}"/>
    <hyperlink ref="Q4" location="'Objeto Dominio N'!A16" display="'Objeto Dominio N'!A16" xr:uid="{00000000-0004-0000-0400-000001000000}"/>
    <hyperlink ref="R4" location="'Objeto Dominio N'!A17" display="'Objeto Dominio N'!A17" xr:uid="{00000000-0004-0000-0400-000002000000}"/>
    <hyperlink ref="S4" location="'Objeto Dominio N'!A18" display="'Objeto Dominio N'!A18" xr:uid="{00000000-0004-0000-0400-000003000000}"/>
    <hyperlink ref="T4" location="'Objeto Dominio N'!A19" display="'Objeto Dominio N'!A19" xr:uid="{00000000-0004-0000-0400-000004000000}"/>
    <hyperlink ref="A22" location="'Objeto Dominio N'!R4" display="Reponsabilidad 2" xr:uid="{00000000-0004-0000-0400-000005000000}"/>
    <hyperlink ref="A23" location="'Objeto Dominio N'!S4" display="Reponsabilidad 3" xr:uid="{00000000-0004-0000-0400-000006000000}"/>
    <hyperlink ref="A24" location="'Objeto Dominio N'!T4" display="Reponsabilidad 4" xr:uid="{00000000-0004-0000-0400-000007000000}"/>
    <hyperlink ref="H24" location="'Tipo Relación Institución'!A6" display="'Tipo Relación Institución'!A6" xr:uid="{00000000-0004-0000-0400-000008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6"/>
  <sheetViews>
    <sheetView workbookViewId="0">
      <pane ySplit="2" topLeftCell="A3" activePane="bottomLeft" state="frozen"/>
      <selection pane="bottomLeft" activeCell="A9" sqref="A9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Dominio'!$A$4</f>
        <v>Ciudad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ht="15.75" customHeight="1" thickBot="1" x14ac:dyDescent="0.5">
      <c r="A3" s="4" t="s">
        <v>38</v>
      </c>
      <c r="B3" s="160" t="str">
        <f>'Listado Objetos de Dominio'!$B$4</f>
        <v>Se refiere a la ciudad donde reside el cliente y/o donde está ubicado su negocio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str">
        <f>A16</f>
        <v>Consultar</v>
      </c>
      <c r="R4" s="35" t="e">
        <f>#REF!</f>
        <v>#REF!</v>
      </c>
      <c r="S4" s="36" t="e">
        <f>#REF!</f>
        <v>#REF!</v>
      </c>
      <c r="T4" s="2" t="e">
        <f>#REF!</f>
        <v>#REF!</v>
      </c>
    </row>
    <row r="5" spans="1:20" x14ac:dyDescent="0.45">
      <c r="A5" s="11" t="s">
        <v>54</v>
      </c>
      <c r="B5" s="5" t="s">
        <v>154</v>
      </c>
      <c r="C5" s="5"/>
      <c r="D5" s="5"/>
      <c r="E5" s="5"/>
      <c r="F5" s="5" t="s">
        <v>155</v>
      </c>
      <c r="G5" s="5"/>
      <c r="H5" s="5"/>
      <c r="I5" s="5"/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/>
      <c r="Q5" s="34"/>
      <c r="R5" s="23"/>
      <c r="S5" s="28"/>
      <c r="T5" s="31"/>
    </row>
    <row r="6" spans="1:20" x14ac:dyDescent="0.45">
      <c r="A6" s="11" t="s">
        <v>2</v>
      </c>
      <c r="B6" s="5" t="s">
        <v>61</v>
      </c>
      <c r="C6" s="5">
        <v>1</v>
      </c>
      <c r="D6" s="5">
        <v>50</v>
      </c>
      <c r="E6" s="5"/>
      <c r="F6" s="5"/>
      <c r="G6" s="5"/>
      <c r="H6" s="5" t="s">
        <v>62</v>
      </c>
      <c r="I6" s="5"/>
      <c r="J6" s="13"/>
      <c r="K6" s="12" t="s">
        <v>59</v>
      </c>
      <c r="L6" s="5" t="s">
        <v>59</v>
      </c>
      <c r="M6" s="5" t="s">
        <v>58</v>
      </c>
      <c r="N6" s="5" t="s">
        <v>59</v>
      </c>
      <c r="O6" s="5"/>
      <c r="P6" s="7"/>
      <c r="Q6" s="34"/>
      <c r="R6" s="23"/>
      <c r="S6" s="28"/>
      <c r="T6" s="31"/>
    </row>
    <row r="7" spans="1:20" ht="27" customHeight="1" x14ac:dyDescent="0.45">
      <c r="A7" s="11" t="s">
        <v>6</v>
      </c>
      <c r="B7" s="5" t="s">
        <v>6</v>
      </c>
      <c r="C7" s="5"/>
      <c r="D7" s="5"/>
      <c r="E7" s="5"/>
      <c r="F7" s="5"/>
      <c r="G7" s="5"/>
      <c r="H7" s="5"/>
      <c r="I7" s="5"/>
      <c r="J7" s="13" t="s">
        <v>156</v>
      </c>
      <c r="K7" s="5"/>
      <c r="L7" s="5"/>
      <c r="M7" s="5" t="s">
        <v>58</v>
      </c>
      <c r="N7" s="5"/>
      <c r="O7" s="5"/>
      <c r="P7" s="7"/>
      <c r="Q7" s="34"/>
      <c r="R7" s="23"/>
      <c r="S7" s="28"/>
      <c r="T7" s="31"/>
    </row>
    <row r="8" spans="1:20" x14ac:dyDescent="0.45">
      <c r="A8" s="11"/>
      <c r="B8" s="5"/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  <c r="P8" s="7"/>
      <c r="Q8" s="34"/>
      <c r="R8" s="23"/>
      <c r="S8" s="28"/>
      <c r="T8" s="31"/>
    </row>
    <row r="9" spans="1:20" ht="15.75" customHeight="1" thickBot="1" x14ac:dyDescent="0.5"/>
    <row r="10" spans="1:20" x14ac:dyDescent="0.45">
      <c r="A10" s="155" t="s">
        <v>64</v>
      </c>
      <c r="B10" s="131"/>
      <c r="C10" s="132"/>
    </row>
    <row r="11" spans="1:20" x14ac:dyDescent="0.45">
      <c r="A11" s="17" t="s">
        <v>65</v>
      </c>
      <c r="B11" s="16" t="s">
        <v>3</v>
      </c>
      <c r="C11" s="18" t="s">
        <v>66</v>
      </c>
    </row>
    <row r="12" spans="1:20" ht="39" customHeight="1" thickBot="1" x14ac:dyDescent="0.5">
      <c r="A12" s="14"/>
      <c r="B12" s="15"/>
      <c r="C12" s="38"/>
      <c r="G12" s="89"/>
    </row>
    <row r="14" spans="1:20" x14ac:dyDescent="0.45">
      <c r="A14" s="145" t="s">
        <v>67</v>
      </c>
      <c r="B14" s="136"/>
      <c r="C14" s="134" t="s">
        <v>3</v>
      </c>
      <c r="D14" s="135"/>
      <c r="E14" s="135"/>
      <c r="F14" s="136"/>
      <c r="G14" s="134" t="s">
        <v>68</v>
      </c>
      <c r="H14" s="131"/>
      <c r="I14" s="132"/>
      <c r="J14" s="134" t="s">
        <v>69</v>
      </c>
      <c r="K14" s="131"/>
      <c r="L14" s="131"/>
      <c r="M14" s="131"/>
      <c r="N14" s="132"/>
      <c r="O14" s="134" t="s">
        <v>70</v>
      </c>
      <c r="P14" s="132"/>
      <c r="Q14" s="134" t="s">
        <v>71</v>
      </c>
      <c r="R14" s="132"/>
    </row>
    <row r="15" spans="1:20" x14ac:dyDescent="0.45">
      <c r="A15" s="146"/>
      <c r="B15" s="139"/>
      <c r="C15" s="137"/>
      <c r="D15" s="138"/>
      <c r="E15" s="138"/>
      <c r="F15" s="139"/>
      <c r="G15" s="19" t="s">
        <v>72</v>
      </c>
      <c r="H15" s="19" t="s">
        <v>73</v>
      </c>
      <c r="I15" s="19" t="s">
        <v>3</v>
      </c>
      <c r="J15" s="19" t="s">
        <v>40</v>
      </c>
      <c r="K15" s="154" t="s">
        <v>3</v>
      </c>
      <c r="L15" s="141"/>
      <c r="M15" s="141"/>
      <c r="N15" s="142"/>
      <c r="O15" s="19" t="s">
        <v>74</v>
      </c>
      <c r="P15" s="19" t="s">
        <v>3</v>
      </c>
      <c r="Q15" s="19" t="s">
        <v>75</v>
      </c>
      <c r="R15" s="25" t="s">
        <v>76</v>
      </c>
    </row>
    <row r="16" spans="1:20" ht="34.5" customHeight="1" x14ac:dyDescent="0.45">
      <c r="A16" s="150" t="s">
        <v>77</v>
      </c>
      <c r="B16" s="142"/>
      <c r="C16" s="152" t="s">
        <v>157</v>
      </c>
      <c r="D16" s="141"/>
      <c r="E16" s="141"/>
      <c r="F16" s="142"/>
      <c r="G16" s="20"/>
      <c r="H16" s="21"/>
      <c r="I16" s="22" t="s">
        <v>158</v>
      </c>
      <c r="J16" s="21"/>
      <c r="K16" s="152" t="s">
        <v>159</v>
      </c>
      <c r="L16" s="141"/>
      <c r="M16" s="141"/>
      <c r="N16" s="142"/>
      <c r="O16" s="20"/>
      <c r="P16" s="20"/>
      <c r="Q16" s="20"/>
      <c r="R16" s="26"/>
    </row>
  </sheetData>
  <mergeCells count="14">
    <mergeCell ref="A1:P1"/>
    <mergeCell ref="B3:P3"/>
    <mergeCell ref="J14:N14"/>
    <mergeCell ref="O14:P14"/>
    <mergeCell ref="Q14:R14"/>
    <mergeCell ref="A14:B15"/>
    <mergeCell ref="K15:N15"/>
    <mergeCell ref="A10:C10"/>
    <mergeCell ref="C14:F15"/>
    <mergeCell ref="A16:B16"/>
    <mergeCell ref="G14:I14"/>
    <mergeCell ref="B2:P2"/>
    <mergeCell ref="C16:F16"/>
    <mergeCell ref="K16:N16"/>
  </mergeCells>
  <hyperlinks>
    <hyperlink ref="A1" location="'Listado Objetos de Dominio'!A1" display="&lt;-Volver al inicio" xr:uid="{00000000-0004-0000-0500-000000000000}"/>
    <hyperlink ref="Q4" location="'Objeto Dominio 1'!A16" display="'Objeto Dominio 1'!A16" xr:uid="{00000000-0004-0000-0500-000001000000}"/>
    <hyperlink ref="R4" location="'Objeto Dominio 1'!A17" display="'Objeto Dominio 1'!A17" xr:uid="{00000000-0004-0000-0500-000002000000}"/>
    <hyperlink ref="S4" location="'Objeto Dominio 1'!A18" display="'Objeto Dominio 1'!A18" xr:uid="{00000000-0004-0000-0500-000003000000}"/>
    <hyperlink ref="T4" location="'Objeto Dominio 1'!A19" display="'Objeto Dominio 1'!A19" xr:uid="{00000000-0004-0000-0500-000004000000}"/>
    <hyperlink ref="A16" location="'Objeto Dominio 1'!Q4" display="Reponsabilidad 1" xr:uid="{00000000-0004-0000-0500-00000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4"/>
  <sheetViews>
    <sheetView topLeftCell="A4" zoomScaleNormal="100" workbookViewId="0">
      <selection activeCell="A22" sqref="A22:B22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Dominio'!$A$6</f>
        <v>Negocio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x14ac:dyDescent="0.45">
      <c r="A3" s="4" t="s">
        <v>38</v>
      </c>
      <c r="B3" s="160" t="str">
        <f>'Listado Objetos de Dominio'!$B$6</f>
        <v>Se refiere al negocio que ha registrado el cliente en la aplicación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str">
        <f>A20</f>
        <v>registerBusiness</v>
      </c>
      <c r="R4" s="35" t="str">
        <f>A21</f>
        <v>getBusiness</v>
      </c>
      <c r="S4" s="36" t="str">
        <f>A22</f>
        <v>updateBusiness</v>
      </c>
      <c r="T4" s="2" t="str">
        <f>A23</f>
        <v>verifyBusiness</v>
      </c>
    </row>
    <row r="5" spans="1:20" x14ac:dyDescent="0.45">
      <c r="A5" s="11" t="s">
        <v>82</v>
      </c>
      <c r="B5" s="5" t="s">
        <v>83</v>
      </c>
      <c r="C5" s="176">
        <v>36</v>
      </c>
      <c r="D5" s="176">
        <v>36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 t="s">
        <v>160</v>
      </c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161</v>
      </c>
      <c r="Q5" s="34"/>
      <c r="R5" s="23"/>
      <c r="S5" s="28"/>
      <c r="T5" s="31"/>
    </row>
    <row r="6" spans="1:20" x14ac:dyDescent="0.45">
      <c r="A6" s="11" t="s">
        <v>162</v>
      </c>
      <c r="B6" s="5" t="s">
        <v>90</v>
      </c>
      <c r="C6" s="176">
        <v>5</v>
      </c>
      <c r="D6" s="176">
        <v>20</v>
      </c>
      <c r="E6" s="5" t="s">
        <v>85</v>
      </c>
      <c r="F6" s="5" t="s">
        <v>85</v>
      </c>
      <c r="G6" s="5" t="s">
        <v>85</v>
      </c>
      <c r="H6" s="5" t="s">
        <v>163</v>
      </c>
      <c r="I6" s="5" t="s">
        <v>85</v>
      </c>
      <c r="J6" s="13" t="s">
        <v>164</v>
      </c>
      <c r="K6" s="12" t="s">
        <v>59</v>
      </c>
      <c r="L6" s="5" t="s">
        <v>59</v>
      </c>
      <c r="M6" s="5" t="s">
        <v>58</v>
      </c>
      <c r="N6" s="5" t="s">
        <v>59</v>
      </c>
      <c r="O6" s="5" t="s">
        <v>59</v>
      </c>
      <c r="P6" s="7" t="s">
        <v>165</v>
      </c>
      <c r="Q6" s="34"/>
      <c r="R6" s="23"/>
      <c r="S6" s="28"/>
      <c r="T6" s="31"/>
    </row>
    <row r="7" spans="1:20" x14ac:dyDescent="0.45">
      <c r="A7" s="11" t="s">
        <v>94</v>
      </c>
      <c r="B7" s="5" t="s">
        <v>90</v>
      </c>
      <c r="C7" s="176">
        <v>1</v>
      </c>
      <c r="D7" s="176">
        <v>150</v>
      </c>
      <c r="E7" s="5" t="s">
        <v>85</v>
      </c>
      <c r="F7" s="5" t="s">
        <v>85</v>
      </c>
      <c r="G7" s="5" t="s">
        <v>85</v>
      </c>
      <c r="H7" s="5" t="s">
        <v>61</v>
      </c>
      <c r="I7" s="5" t="s">
        <v>85</v>
      </c>
      <c r="J7" s="6" t="s">
        <v>85</v>
      </c>
      <c r="K7" s="5" t="s">
        <v>59</v>
      </c>
      <c r="L7" s="5" t="s">
        <v>59</v>
      </c>
      <c r="M7" s="5" t="s">
        <v>58</v>
      </c>
      <c r="N7" s="5" t="s">
        <v>59</v>
      </c>
      <c r="O7" s="5" t="s">
        <v>59</v>
      </c>
      <c r="P7" s="7" t="s">
        <v>167</v>
      </c>
      <c r="Q7" s="34"/>
      <c r="R7" s="23"/>
      <c r="S7" s="28"/>
      <c r="T7" s="31"/>
    </row>
    <row r="8" spans="1:20" x14ac:dyDescent="0.45">
      <c r="A8" s="69" t="s">
        <v>428</v>
      </c>
      <c r="B8" s="70" t="s">
        <v>90</v>
      </c>
      <c r="C8" s="177">
        <v>1</v>
      </c>
      <c r="D8" s="177">
        <v>500</v>
      </c>
      <c r="E8" s="70" t="s">
        <v>85</v>
      </c>
      <c r="F8" s="70" t="s">
        <v>85</v>
      </c>
      <c r="G8" s="70" t="s">
        <v>85</v>
      </c>
      <c r="H8" s="70" t="s">
        <v>61</v>
      </c>
      <c r="I8" s="70" t="s">
        <v>85</v>
      </c>
      <c r="J8" s="71" t="s">
        <v>85</v>
      </c>
      <c r="K8" s="70" t="s">
        <v>59</v>
      </c>
      <c r="L8" s="70" t="s">
        <v>59</v>
      </c>
      <c r="M8" s="70" t="s">
        <v>58</v>
      </c>
      <c r="N8" s="70" t="s">
        <v>59</v>
      </c>
      <c r="O8" s="70" t="s">
        <v>59</v>
      </c>
      <c r="P8" s="72" t="s">
        <v>168</v>
      </c>
      <c r="Q8" s="73"/>
      <c r="R8" s="74"/>
      <c r="S8" s="75"/>
      <c r="T8" s="76"/>
    </row>
    <row r="9" spans="1:20" ht="27" customHeight="1" x14ac:dyDescent="0.45">
      <c r="A9" s="5" t="s">
        <v>423</v>
      </c>
      <c r="B9" s="5" t="s">
        <v>90</v>
      </c>
      <c r="C9" s="176">
        <v>1</v>
      </c>
      <c r="D9" s="176">
        <v>200</v>
      </c>
      <c r="E9" s="5" t="s">
        <v>85</v>
      </c>
      <c r="F9" s="5" t="s">
        <v>85</v>
      </c>
      <c r="G9" s="5" t="s">
        <v>85</v>
      </c>
      <c r="H9" s="5" t="s">
        <v>169</v>
      </c>
      <c r="I9" s="5" t="s">
        <v>85</v>
      </c>
      <c r="J9" s="13" t="s">
        <v>85</v>
      </c>
      <c r="K9" s="5" t="s">
        <v>59</v>
      </c>
      <c r="L9" s="5" t="s">
        <v>59</v>
      </c>
      <c r="M9" s="5" t="s">
        <v>58</v>
      </c>
      <c r="N9" s="5" t="s">
        <v>59</v>
      </c>
      <c r="O9" s="5" t="s">
        <v>59</v>
      </c>
      <c r="P9" s="7" t="s">
        <v>170</v>
      </c>
      <c r="Q9" s="34"/>
      <c r="R9" s="23"/>
      <c r="S9" s="28"/>
      <c r="T9" s="31"/>
    </row>
    <row r="10" spans="1:20" x14ac:dyDescent="0.45">
      <c r="A10" s="5" t="s">
        <v>422</v>
      </c>
      <c r="B10" s="5" t="s">
        <v>422</v>
      </c>
      <c r="C10" s="5" t="s">
        <v>85</v>
      </c>
      <c r="D10" s="5" t="s">
        <v>85</v>
      </c>
      <c r="E10" s="5" t="s">
        <v>85</v>
      </c>
      <c r="F10" s="5" t="s">
        <v>85</v>
      </c>
      <c r="G10" s="5" t="s">
        <v>85</v>
      </c>
      <c r="H10" s="5" t="s">
        <v>86</v>
      </c>
      <c r="I10" s="5" t="s">
        <v>85</v>
      </c>
      <c r="J10" s="13" t="s">
        <v>171</v>
      </c>
      <c r="K10" s="5" t="s">
        <v>59</v>
      </c>
      <c r="L10" s="5" t="s">
        <v>59</v>
      </c>
      <c r="M10" s="5" t="s">
        <v>58</v>
      </c>
      <c r="N10" s="5" t="s">
        <v>59</v>
      </c>
      <c r="O10" s="5" t="s">
        <v>59</v>
      </c>
      <c r="P10" s="7" t="s">
        <v>172</v>
      </c>
      <c r="Q10" s="34"/>
      <c r="R10" s="23"/>
      <c r="S10" s="28"/>
      <c r="T10" s="31"/>
    </row>
    <row r="11" spans="1:20" x14ac:dyDescent="0.45">
      <c r="A11" s="5" t="s">
        <v>429</v>
      </c>
      <c r="B11" s="5" t="s">
        <v>110</v>
      </c>
      <c r="C11" s="5" t="s">
        <v>85</v>
      </c>
      <c r="D11" s="5" t="s">
        <v>85</v>
      </c>
      <c r="E11" s="5" t="s">
        <v>85</v>
      </c>
      <c r="F11" s="5" t="s">
        <v>85</v>
      </c>
      <c r="G11" s="5" t="s">
        <v>85</v>
      </c>
      <c r="H11" s="5" t="s">
        <v>173</v>
      </c>
      <c r="I11" s="5" t="s">
        <v>174</v>
      </c>
      <c r="J11" s="13" t="s">
        <v>175</v>
      </c>
      <c r="K11" s="5" t="s">
        <v>59</v>
      </c>
      <c r="L11" s="5" t="s">
        <v>59</v>
      </c>
      <c r="M11" s="5" t="s">
        <v>58</v>
      </c>
      <c r="N11" s="5" t="s">
        <v>59</v>
      </c>
      <c r="O11" s="5" t="s">
        <v>59</v>
      </c>
      <c r="P11" s="7" t="s">
        <v>176</v>
      </c>
      <c r="Q11" s="34"/>
      <c r="R11" s="23"/>
      <c r="S11" s="28"/>
      <c r="T11" s="31"/>
    </row>
    <row r="12" spans="1:20" x14ac:dyDescent="0.45">
      <c r="A12" s="5" t="s">
        <v>430</v>
      </c>
      <c r="B12" s="5" t="s">
        <v>90</v>
      </c>
      <c r="C12" s="5" t="s">
        <v>85</v>
      </c>
      <c r="D12" s="5" t="s">
        <v>85</v>
      </c>
      <c r="E12" s="5" t="s">
        <v>85</v>
      </c>
      <c r="F12" s="5" t="s">
        <v>85</v>
      </c>
      <c r="G12" s="5" t="s">
        <v>85</v>
      </c>
      <c r="H12" s="5" t="s">
        <v>177</v>
      </c>
      <c r="I12" s="5" t="s">
        <v>85</v>
      </c>
      <c r="J12" s="13" t="s">
        <v>178</v>
      </c>
      <c r="K12" s="5" t="s">
        <v>59</v>
      </c>
      <c r="L12" s="5" t="s">
        <v>59</v>
      </c>
      <c r="M12" s="5" t="s">
        <v>59</v>
      </c>
      <c r="N12" s="5" t="s">
        <v>59</v>
      </c>
      <c r="O12" s="5" t="s">
        <v>59</v>
      </c>
      <c r="P12" s="7" t="s">
        <v>179</v>
      </c>
      <c r="Q12" s="34"/>
      <c r="R12" s="23"/>
      <c r="S12" s="28"/>
      <c r="T12" s="31"/>
    </row>
    <row r="13" spans="1:20" x14ac:dyDescent="0.45">
      <c r="A13" s="183" t="s">
        <v>431</v>
      </c>
      <c r="B13" s="183" t="s">
        <v>90</v>
      </c>
      <c r="C13" s="183" t="s">
        <v>85</v>
      </c>
      <c r="D13" s="183" t="s">
        <v>85</v>
      </c>
      <c r="E13" s="183" t="s">
        <v>85</v>
      </c>
      <c r="F13" s="183" t="s">
        <v>85</v>
      </c>
      <c r="G13" s="183" t="s">
        <v>85</v>
      </c>
      <c r="H13" s="183" t="s">
        <v>177</v>
      </c>
      <c r="I13" s="183" t="s">
        <v>85</v>
      </c>
      <c r="J13" s="183" t="s">
        <v>180</v>
      </c>
      <c r="K13" s="183" t="s">
        <v>59</v>
      </c>
      <c r="L13" s="183" t="s">
        <v>59</v>
      </c>
      <c r="M13" s="183" t="s">
        <v>59</v>
      </c>
      <c r="N13" s="183" t="s">
        <v>59</v>
      </c>
      <c r="O13" s="183" t="s">
        <v>59</v>
      </c>
      <c r="P13" s="183" t="s">
        <v>181</v>
      </c>
      <c r="Q13" s="182"/>
      <c r="R13" s="182"/>
      <c r="S13" s="182"/>
      <c r="T13" s="182"/>
    </row>
    <row r="14" spans="1:20" x14ac:dyDescent="0.45">
      <c r="A14" s="181"/>
      <c r="B14" s="138"/>
      <c r="C14" s="139"/>
    </row>
    <row r="15" spans="1:20" x14ac:dyDescent="0.45">
      <c r="A15" s="17"/>
      <c r="B15" s="16"/>
      <c r="C15" s="18"/>
    </row>
    <row r="16" spans="1:20" ht="39" customHeight="1" x14ac:dyDescent="0.45">
      <c r="A16" s="14"/>
      <c r="B16" s="15"/>
      <c r="C16" s="38"/>
      <c r="F16" s="89"/>
    </row>
    <row r="18" spans="1:18" x14ac:dyDescent="0.45">
      <c r="A18" s="145" t="s">
        <v>67</v>
      </c>
      <c r="B18" s="136"/>
      <c r="C18" s="134" t="s">
        <v>3</v>
      </c>
      <c r="D18" s="135"/>
      <c r="E18" s="135"/>
      <c r="F18" s="136"/>
      <c r="G18" s="134" t="s">
        <v>68</v>
      </c>
      <c r="H18" s="131"/>
      <c r="I18" s="132"/>
      <c r="J18" s="134" t="s">
        <v>69</v>
      </c>
      <c r="K18" s="131"/>
      <c r="L18" s="131"/>
      <c r="M18" s="131"/>
      <c r="N18" s="132"/>
      <c r="O18" s="134" t="s">
        <v>70</v>
      </c>
      <c r="P18" s="132"/>
      <c r="Q18" s="134" t="s">
        <v>71</v>
      </c>
      <c r="R18" s="132"/>
    </row>
    <row r="19" spans="1:18" x14ac:dyDescent="0.45">
      <c r="A19" s="146"/>
      <c r="B19" s="139"/>
      <c r="C19" s="137"/>
      <c r="D19" s="138"/>
      <c r="E19" s="138"/>
      <c r="F19" s="139"/>
      <c r="G19" s="19" t="s">
        <v>72</v>
      </c>
      <c r="H19" s="19" t="s">
        <v>73</v>
      </c>
      <c r="I19" s="19" t="s">
        <v>3</v>
      </c>
      <c r="J19" s="19" t="s">
        <v>40</v>
      </c>
      <c r="K19" s="154" t="s">
        <v>3</v>
      </c>
      <c r="L19" s="141"/>
      <c r="M19" s="141"/>
      <c r="N19" s="142"/>
      <c r="O19" s="19" t="s">
        <v>74</v>
      </c>
      <c r="P19" s="19" t="s">
        <v>3</v>
      </c>
      <c r="Q19" s="19" t="s">
        <v>75</v>
      </c>
      <c r="R19" s="25" t="s">
        <v>76</v>
      </c>
    </row>
    <row r="20" spans="1:18" ht="39" customHeight="1" x14ac:dyDescent="0.45">
      <c r="A20" s="158" t="s">
        <v>182</v>
      </c>
      <c r="B20" s="142"/>
      <c r="C20" s="140" t="s">
        <v>183</v>
      </c>
      <c r="D20" s="141"/>
      <c r="E20" s="141"/>
      <c r="F20" s="142"/>
      <c r="G20" s="46" t="s">
        <v>184</v>
      </c>
      <c r="H20" s="44"/>
      <c r="I20" s="45"/>
      <c r="J20" s="39" t="s">
        <v>126</v>
      </c>
      <c r="K20" s="144" t="s">
        <v>185</v>
      </c>
      <c r="L20" s="141"/>
      <c r="M20" s="141"/>
      <c r="N20" s="142"/>
      <c r="O20" s="23" t="s">
        <v>186</v>
      </c>
      <c r="P20" s="24"/>
      <c r="Q20" s="24" t="s">
        <v>187</v>
      </c>
      <c r="R20" s="27"/>
    </row>
    <row r="21" spans="1:18" ht="27.75" customHeight="1" x14ac:dyDescent="0.45">
      <c r="A21" s="158" t="s">
        <v>188</v>
      </c>
      <c r="B21" s="142"/>
      <c r="C21" s="140" t="s">
        <v>189</v>
      </c>
      <c r="D21" s="141"/>
      <c r="E21" s="141"/>
      <c r="F21" s="142"/>
      <c r="G21" s="46" t="s">
        <v>190</v>
      </c>
      <c r="H21" s="44"/>
      <c r="I21" s="45"/>
      <c r="J21" s="39" t="s">
        <v>126</v>
      </c>
      <c r="K21" s="144" t="s">
        <v>191</v>
      </c>
      <c r="L21" s="141"/>
      <c r="M21" s="141"/>
      <c r="N21" s="142"/>
      <c r="O21" s="23" t="s">
        <v>192</v>
      </c>
      <c r="P21" s="24"/>
      <c r="Q21" s="24" t="s">
        <v>193</v>
      </c>
      <c r="R21" s="27"/>
    </row>
    <row r="22" spans="1:18" ht="27.75" customHeight="1" x14ac:dyDescent="0.45">
      <c r="A22" s="158" t="s">
        <v>194</v>
      </c>
      <c r="B22" s="142"/>
      <c r="C22" s="140" t="s">
        <v>195</v>
      </c>
      <c r="D22" s="141"/>
      <c r="E22" s="141"/>
      <c r="F22" s="142"/>
      <c r="G22" s="46" t="s">
        <v>196</v>
      </c>
      <c r="H22" s="44"/>
      <c r="I22" s="45"/>
      <c r="J22" s="39" t="s">
        <v>126</v>
      </c>
      <c r="K22" s="144" t="s">
        <v>197</v>
      </c>
      <c r="L22" s="141"/>
      <c r="M22" s="141"/>
      <c r="N22" s="142"/>
      <c r="O22" s="23" t="s">
        <v>198</v>
      </c>
      <c r="P22" s="24"/>
      <c r="Q22" s="24" t="s">
        <v>141</v>
      </c>
      <c r="R22" s="27"/>
    </row>
    <row r="23" spans="1:18" ht="34.5" customHeight="1" x14ac:dyDescent="0.45">
      <c r="A23" s="158" t="s">
        <v>199</v>
      </c>
      <c r="B23" s="142"/>
      <c r="C23" s="140" t="s">
        <v>200</v>
      </c>
      <c r="D23" s="141"/>
      <c r="E23" s="141"/>
      <c r="F23" s="142"/>
      <c r="G23" s="46" t="s">
        <v>201</v>
      </c>
      <c r="H23" s="44"/>
      <c r="I23" s="45"/>
      <c r="J23" s="39" t="s">
        <v>126</v>
      </c>
      <c r="K23" s="144" t="s">
        <v>202</v>
      </c>
      <c r="L23" s="141"/>
      <c r="M23" s="141"/>
      <c r="N23" s="142"/>
      <c r="O23" s="23" t="s">
        <v>203</v>
      </c>
      <c r="P23" s="24"/>
      <c r="Q23" s="24" t="s">
        <v>204</v>
      </c>
      <c r="R23" s="27"/>
    </row>
    <row r="24" spans="1:18" x14ac:dyDescent="0.45">
      <c r="A24" s="190" t="s">
        <v>205</v>
      </c>
      <c r="B24" s="190"/>
      <c r="C24" s="190" t="s">
        <v>206</v>
      </c>
      <c r="D24" s="190"/>
      <c r="E24" s="190"/>
      <c r="F24" s="190"/>
      <c r="G24" s="191" t="s">
        <v>190</v>
      </c>
      <c r="H24" s="192"/>
      <c r="I24" s="192"/>
      <c r="J24" s="191" t="s">
        <v>126</v>
      </c>
      <c r="K24" s="191" t="s">
        <v>151</v>
      </c>
      <c r="L24" s="192"/>
      <c r="M24" s="192"/>
      <c r="N24" s="192"/>
      <c r="O24" s="191" t="s">
        <v>207</v>
      </c>
      <c r="P24" s="192"/>
      <c r="Q24" s="191" t="s">
        <v>208</v>
      </c>
      <c r="R24" s="192"/>
    </row>
  </sheetData>
  <mergeCells count="25">
    <mergeCell ref="A24:B24"/>
    <mergeCell ref="C24:F24"/>
    <mergeCell ref="A1:P1"/>
    <mergeCell ref="C20:F20"/>
    <mergeCell ref="K20:N20"/>
    <mergeCell ref="A23:B23"/>
    <mergeCell ref="A22:B22"/>
    <mergeCell ref="C22:F22"/>
    <mergeCell ref="A20:B20"/>
    <mergeCell ref="K22:N22"/>
    <mergeCell ref="B3:P3"/>
    <mergeCell ref="C21:F21"/>
    <mergeCell ref="J18:N18"/>
    <mergeCell ref="C18:F19"/>
    <mergeCell ref="Q18:R18"/>
    <mergeCell ref="K19:N19"/>
    <mergeCell ref="A14:C14"/>
    <mergeCell ref="A21:B21"/>
    <mergeCell ref="K21:N21"/>
    <mergeCell ref="K23:N23"/>
    <mergeCell ref="C23:F23"/>
    <mergeCell ref="B2:P2"/>
    <mergeCell ref="G18:I18"/>
    <mergeCell ref="A18:B19"/>
    <mergeCell ref="O18:P18"/>
  </mergeCells>
  <hyperlinks>
    <hyperlink ref="A1" location="'Listado Objetos de Dominio'!A1" display="&lt;-Volver al inicio" xr:uid="{00000000-0004-0000-0600-000000000000}"/>
    <hyperlink ref="Q4" location="'Objeto Dominio N'!A16" display="'Objeto Dominio N'!A16" xr:uid="{00000000-0004-0000-0600-000001000000}"/>
    <hyperlink ref="R4" location="'Objeto Dominio 1'!A17" display="'Objeto Dominio 1'!A17" xr:uid="{00000000-0004-0000-0600-000002000000}"/>
    <hyperlink ref="S4" location="'Objeto Dominio 1'!A18" display="'Objeto Dominio 1'!A18" xr:uid="{00000000-0004-0000-0600-000003000000}"/>
    <hyperlink ref="T4" location="'Objeto Dominio 1'!A19" display="'Objeto Dominio 1'!A19" xr:uid="{00000000-0004-0000-0600-000004000000}"/>
    <hyperlink ref="A20" location="'Objeto Dominio N'!R4" display="Reponsabilidad 2" xr:uid="{00000000-0004-0000-0600-000005000000}"/>
    <hyperlink ref="A21" location="'Objeto Dominio N'!R4" display="Reponsabilidad 2" xr:uid="{00000000-0004-0000-0600-000006000000}"/>
    <hyperlink ref="A22" location="'Objeto Dominio N'!R4" display="Reponsabilidad 2" xr:uid="{00000000-0004-0000-0600-000007000000}"/>
    <hyperlink ref="A23" location="'Objeto Dominio N'!R4" display="Reponsabilidad 2" xr:uid="{00000000-0004-0000-0600-000008000000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0"/>
  <sheetViews>
    <sheetView topLeftCell="Q1" zoomScaleNormal="100" workbookViewId="0">
      <selection activeCell="Q4" sqref="Q4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Dominio'!$A$7</f>
        <v>Sede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x14ac:dyDescent="0.45">
      <c r="A3" s="4" t="s">
        <v>38</v>
      </c>
      <c r="B3" s="160" t="str">
        <f>'Listado Objetos de Dominio'!$B$7</f>
        <v>Se refiere a la o las sedes/sucursales que posee el negocio del cliente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str">
        <f>A17</f>
        <v>'Objeto Dominio N'!R4</v>
      </c>
      <c r="R4" s="35" t="str">
        <f>A18</f>
        <v>Actualizar datos</v>
      </c>
      <c r="S4" s="36" t="str">
        <f>A19</f>
        <v xml:space="preserve">consultar </v>
      </c>
      <c r="T4" s="2" t="str">
        <f>A20</f>
        <v>eliminar</v>
      </c>
    </row>
    <row r="5" spans="1:20" x14ac:dyDescent="0.45">
      <c r="A5" s="11" t="s">
        <v>82</v>
      </c>
      <c r="B5" s="5" t="s">
        <v>83</v>
      </c>
      <c r="C5" s="176">
        <v>36</v>
      </c>
      <c r="D5" s="176">
        <v>36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209</v>
      </c>
      <c r="Q5" s="34"/>
      <c r="R5" s="23"/>
      <c r="S5" s="28"/>
      <c r="T5" s="31"/>
    </row>
    <row r="6" spans="1:20" x14ac:dyDescent="0.45">
      <c r="A6" s="11" t="s">
        <v>166</v>
      </c>
      <c r="B6" s="5" t="s">
        <v>90</v>
      </c>
      <c r="C6" s="176">
        <v>1</v>
      </c>
      <c r="D6" s="176">
        <v>100</v>
      </c>
      <c r="E6" s="5" t="s">
        <v>85</v>
      </c>
      <c r="F6" s="5" t="s">
        <v>85</v>
      </c>
      <c r="G6" s="5" t="s">
        <v>85</v>
      </c>
      <c r="H6" s="5" t="s">
        <v>61</v>
      </c>
      <c r="I6" s="5" t="s">
        <v>85</v>
      </c>
      <c r="J6" s="13" t="s">
        <v>427</v>
      </c>
      <c r="K6" s="12" t="s">
        <v>59</v>
      </c>
      <c r="L6" s="5" t="s">
        <v>59</v>
      </c>
      <c r="M6" s="5" t="s">
        <v>58</v>
      </c>
      <c r="N6" s="5" t="s">
        <v>59</v>
      </c>
      <c r="O6" s="5" t="s">
        <v>59</v>
      </c>
      <c r="P6" s="7" t="s">
        <v>210</v>
      </c>
      <c r="Q6" s="34"/>
      <c r="R6" s="23"/>
      <c r="S6" s="28"/>
      <c r="T6" s="31"/>
    </row>
    <row r="7" spans="1:20" x14ac:dyDescent="0.45">
      <c r="A7" s="69" t="s">
        <v>423</v>
      </c>
      <c r="B7" s="70" t="s">
        <v>90</v>
      </c>
      <c r="C7" s="177">
        <v>1</v>
      </c>
      <c r="D7" s="177">
        <v>200</v>
      </c>
      <c r="E7" s="70" t="s">
        <v>85</v>
      </c>
      <c r="F7" s="70" t="s">
        <v>85</v>
      </c>
      <c r="G7" s="70" t="s">
        <v>85</v>
      </c>
      <c r="H7" s="70" t="s">
        <v>169</v>
      </c>
      <c r="I7" s="70" t="s">
        <v>85</v>
      </c>
      <c r="J7" s="101"/>
      <c r="K7" s="102" t="s">
        <v>59</v>
      </c>
      <c r="L7" s="70" t="s">
        <v>59</v>
      </c>
      <c r="M7" s="70" t="s">
        <v>58</v>
      </c>
      <c r="N7" s="70" t="s">
        <v>59</v>
      </c>
      <c r="O7" s="70" t="s">
        <v>59</v>
      </c>
      <c r="P7" s="72" t="s">
        <v>211</v>
      </c>
      <c r="Q7" s="73"/>
      <c r="R7" s="74"/>
      <c r="S7" s="75"/>
      <c r="T7" s="76"/>
    </row>
    <row r="8" spans="1:20" x14ac:dyDescent="0.45">
      <c r="A8" s="69" t="s">
        <v>416</v>
      </c>
      <c r="B8" s="70" t="s">
        <v>416</v>
      </c>
      <c r="C8" s="70" t="s">
        <v>85</v>
      </c>
      <c r="D8" s="70" t="s">
        <v>85</v>
      </c>
      <c r="E8" s="70" t="s">
        <v>85</v>
      </c>
      <c r="F8" s="70" t="s">
        <v>85</v>
      </c>
      <c r="G8" s="70" t="s">
        <v>85</v>
      </c>
      <c r="H8" s="70" t="s">
        <v>86</v>
      </c>
      <c r="I8" s="70" t="s">
        <v>85</v>
      </c>
      <c r="J8" s="71" t="s">
        <v>426</v>
      </c>
      <c r="K8" s="70" t="s">
        <v>59</v>
      </c>
      <c r="L8" s="70" t="s">
        <v>59</v>
      </c>
      <c r="M8" s="70" t="s">
        <v>58</v>
      </c>
      <c r="N8" s="70" t="s">
        <v>59</v>
      </c>
      <c r="O8" s="70" t="s">
        <v>59</v>
      </c>
      <c r="P8" s="72" t="s">
        <v>212</v>
      </c>
      <c r="Q8" s="73"/>
      <c r="R8" s="74"/>
      <c r="S8" s="75"/>
      <c r="T8" s="76"/>
    </row>
    <row r="9" spans="1:20" ht="27" customHeight="1" x14ac:dyDescent="0.45">
      <c r="A9" s="63" t="s">
        <v>424</v>
      </c>
      <c r="B9" s="63" t="s">
        <v>424</v>
      </c>
      <c r="C9" s="63" t="s">
        <v>85</v>
      </c>
      <c r="D9" s="63" t="s">
        <v>85</v>
      </c>
      <c r="E9" s="63" t="s">
        <v>85</v>
      </c>
      <c r="F9" s="63" t="s">
        <v>85</v>
      </c>
      <c r="G9" s="63" t="s">
        <v>85</v>
      </c>
      <c r="H9" s="63" t="s">
        <v>86</v>
      </c>
      <c r="I9" s="63" t="s">
        <v>85</v>
      </c>
      <c r="J9" s="77" t="s">
        <v>425</v>
      </c>
      <c r="K9" s="63" t="s">
        <v>59</v>
      </c>
      <c r="L9" s="63" t="s">
        <v>59</v>
      </c>
      <c r="M9" s="63" t="s">
        <v>58</v>
      </c>
      <c r="N9" s="63" t="s">
        <v>59</v>
      </c>
      <c r="O9" s="63" t="s">
        <v>59</v>
      </c>
      <c r="P9" s="64" t="s">
        <v>213</v>
      </c>
      <c r="Q9" s="65"/>
      <c r="R9" s="66"/>
      <c r="S9" s="67"/>
      <c r="T9" s="68"/>
    </row>
    <row r="11" spans="1:20" x14ac:dyDescent="0.45">
      <c r="A11" s="155"/>
      <c r="B11" s="131"/>
      <c r="C11" s="132"/>
    </row>
    <row r="12" spans="1:20" x14ac:dyDescent="0.45">
      <c r="A12" s="17"/>
      <c r="B12" s="16"/>
      <c r="C12" s="18"/>
    </row>
    <row r="13" spans="1:20" ht="39" customHeight="1" x14ac:dyDescent="0.45">
      <c r="A13" s="14"/>
      <c r="B13" s="15"/>
      <c r="C13" s="38"/>
      <c r="F13" s="89"/>
    </row>
    <row r="15" spans="1:20" x14ac:dyDescent="0.45">
      <c r="A15" s="145"/>
      <c r="B15" s="136"/>
      <c r="C15" s="134"/>
      <c r="D15" s="135"/>
      <c r="E15" s="135"/>
      <c r="F15" s="136"/>
      <c r="G15" s="134"/>
      <c r="H15" s="131"/>
      <c r="I15" s="132"/>
      <c r="J15" s="134"/>
      <c r="K15" s="131"/>
      <c r="L15" s="131"/>
      <c r="M15" s="131"/>
      <c r="N15" s="132"/>
      <c r="O15" s="134"/>
      <c r="P15" s="132"/>
      <c r="Q15" s="134" t="s">
        <v>71</v>
      </c>
      <c r="R15" s="132"/>
    </row>
    <row r="16" spans="1:20" x14ac:dyDescent="0.45">
      <c r="A16" s="146"/>
      <c r="B16" s="139"/>
      <c r="C16" s="137"/>
      <c r="D16" s="138"/>
      <c r="E16" s="138"/>
      <c r="F16" s="139"/>
      <c r="G16" s="19"/>
      <c r="H16" s="19"/>
      <c r="I16" s="19"/>
      <c r="J16" s="19"/>
      <c r="K16" s="154"/>
      <c r="L16" s="141"/>
      <c r="M16" s="141"/>
      <c r="N16" s="142"/>
      <c r="O16" s="19"/>
      <c r="P16" s="19"/>
      <c r="Q16" s="19" t="s">
        <v>75</v>
      </c>
      <c r="R16" s="25" t="s">
        <v>76</v>
      </c>
    </row>
    <row r="17" spans="1:18" ht="39" customHeight="1" x14ac:dyDescent="0.45">
      <c r="A17" s="158" t="s">
        <v>214</v>
      </c>
      <c r="B17" s="142"/>
      <c r="C17" s="140"/>
      <c r="D17" s="141"/>
      <c r="E17" s="141"/>
      <c r="F17" s="142"/>
      <c r="G17" s="46"/>
      <c r="H17" s="44"/>
      <c r="I17" s="45"/>
      <c r="J17" s="39"/>
      <c r="K17" s="144"/>
      <c r="L17" s="141"/>
      <c r="M17" s="141"/>
      <c r="N17" s="142"/>
      <c r="O17" s="23"/>
      <c r="P17" s="24"/>
      <c r="Q17" s="24"/>
      <c r="R17" s="27"/>
    </row>
    <row r="18" spans="1:18" ht="27.75" customHeight="1" x14ac:dyDescent="0.45">
      <c r="A18" s="158" t="s">
        <v>215</v>
      </c>
      <c r="B18" s="142"/>
      <c r="C18" s="140" t="s">
        <v>216</v>
      </c>
      <c r="D18" s="141"/>
      <c r="E18" s="141"/>
      <c r="F18" s="142"/>
      <c r="G18" s="46"/>
      <c r="H18" s="44"/>
      <c r="I18" s="45"/>
      <c r="J18" s="39"/>
      <c r="K18" s="144"/>
      <c r="L18" s="141"/>
      <c r="M18" s="141"/>
      <c r="N18" s="142"/>
      <c r="O18" s="23"/>
      <c r="P18" s="24"/>
      <c r="Q18" s="24"/>
      <c r="R18" s="27"/>
    </row>
    <row r="19" spans="1:18" ht="27.75" customHeight="1" x14ac:dyDescent="0.45">
      <c r="A19" s="158" t="s">
        <v>217</v>
      </c>
      <c r="B19" s="142"/>
      <c r="C19" s="140" t="s">
        <v>218</v>
      </c>
      <c r="D19" s="141"/>
      <c r="E19" s="141"/>
      <c r="F19" s="142"/>
      <c r="G19" s="46"/>
      <c r="H19" s="44"/>
      <c r="I19" s="45"/>
      <c r="J19" s="39"/>
      <c r="K19" s="144"/>
      <c r="L19" s="141"/>
      <c r="M19" s="141"/>
      <c r="N19" s="142"/>
      <c r="O19" s="23"/>
      <c r="P19" s="24"/>
      <c r="Q19" s="24"/>
      <c r="R19" s="27"/>
    </row>
    <row r="20" spans="1:18" ht="34.5" customHeight="1" x14ac:dyDescent="0.45">
      <c r="A20" s="158" t="s">
        <v>219</v>
      </c>
      <c r="B20" s="142"/>
      <c r="C20" s="140" t="s">
        <v>220</v>
      </c>
      <c r="D20" s="141"/>
      <c r="E20" s="141"/>
      <c r="F20" s="142"/>
      <c r="G20" s="46"/>
      <c r="H20" s="44"/>
      <c r="I20" s="45"/>
      <c r="J20" s="39"/>
      <c r="K20" s="144"/>
      <c r="L20" s="141"/>
      <c r="M20" s="141"/>
      <c r="N20" s="142"/>
      <c r="O20" s="23"/>
      <c r="P20" s="24"/>
      <c r="Q20" s="24"/>
      <c r="R20" s="27"/>
    </row>
  </sheetData>
  <mergeCells count="23">
    <mergeCell ref="Q15:R15"/>
    <mergeCell ref="A1:P1"/>
    <mergeCell ref="C20:F20"/>
    <mergeCell ref="K20:N20"/>
    <mergeCell ref="A17:B17"/>
    <mergeCell ref="A20:B20"/>
    <mergeCell ref="A11:C11"/>
    <mergeCell ref="A19:B19"/>
    <mergeCell ref="B3:P3"/>
    <mergeCell ref="C15:F16"/>
    <mergeCell ref="C17:F17"/>
    <mergeCell ref="B2:P2"/>
    <mergeCell ref="K17:N17"/>
    <mergeCell ref="O15:P15"/>
    <mergeCell ref="C19:F19"/>
    <mergeCell ref="G15:I15"/>
    <mergeCell ref="K19:N19"/>
    <mergeCell ref="C18:F18"/>
    <mergeCell ref="K18:N18"/>
    <mergeCell ref="J15:N15"/>
    <mergeCell ref="K16:N16"/>
    <mergeCell ref="A18:B18"/>
    <mergeCell ref="A15:B16"/>
  </mergeCells>
  <hyperlinks>
    <hyperlink ref="A1" location="'Listado Objetos de Dominio'!A1" display="&lt;-Volver al inicio" xr:uid="{00000000-0004-0000-0700-000000000000}"/>
    <hyperlink ref="Q4" location="'Objeto Dominio N'!A16" display="'Objeto Dominio N'!A16" xr:uid="{00000000-0004-0000-0700-000001000000}"/>
    <hyperlink ref="R4" location="'Objeto Dominio 1'!A17" display="'Objeto Dominio 1'!A17" xr:uid="{00000000-0004-0000-0700-000002000000}"/>
    <hyperlink ref="S4" location="'Objeto Dominio 1'!A18" display="'Objeto Dominio 1'!A18" xr:uid="{00000000-0004-0000-0700-000003000000}"/>
    <hyperlink ref="T4" location="'Objeto Dominio 1'!A19" display="'Objeto Dominio 1'!A19" xr:uid="{00000000-0004-0000-0700-000004000000}"/>
    <hyperlink ref="A17" location="'Objeto Dominio N'!R4" display="Reponsabilidad 2" xr:uid="{00000000-0004-0000-0700-000005000000}"/>
    <hyperlink ref="A18" location="'Objeto Dominio N'!R4" display="Reponsabilidad 2" xr:uid="{00000000-0004-0000-0700-000006000000}"/>
    <hyperlink ref="A19" location="'Objeto Dominio N'!R4" display="Reponsabilidad 2" xr:uid="{00000000-0004-0000-0700-000007000000}"/>
    <hyperlink ref="A20" location="'Objeto Dominio N'!R4" display="Reponsabilidad 2" xr:uid="{00000000-0004-0000-0700-000008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3"/>
  <sheetViews>
    <sheetView zoomScaleNormal="100" workbookViewId="0">
      <selection activeCell="A18" sqref="A18:B18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Dominio'!$A$8</f>
        <v>Colaborador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x14ac:dyDescent="0.45">
      <c r="A3" s="4" t="s">
        <v>38</v>
      </c>
      <c r="B3" s="160" t="str">
        <f>'Listado Objetos de Dominio'!$B$8</f>
        <v>Indica a un usuario externo encargado de ayudar al cliente con las solicitudes de cotización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str">
        <f>A17</f>
        <v>invitar</v>
      </c>
      <c r="R4" s="35" t="e">
        <f>#REF!</f>
        <v>#REF!</v>
      </c>
      <c r="S4" s="36" t="e">
        <f>#REF!</f>
        <v>#REF!</v>
      </c>
      <c r="T4" s="2" t="e">
        <f>#REF!</f>
        <v>#REF!</v>
      </c>
    </row>
    <row r="5" spans="1:20" x14ac:dyDescent="0.45">
      <c r="A5" s="11" t="s">
        <v>82</v>
      </c>
      <c r="B5" s="5" t="s">
        <v>83</v>
      </c>
      <c r="C5" s="176">
        <v>36</v>
      </c>
      <c r="D5" s="176">
        <v>36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221</v>
      </c>
      <c r="Q5" s="34"/>
      <c r="R5" s="23"/>
      <c r="S5" s="28"/>
      <c r="T5" s="31"/>
    </row>
    <row r="6" spans="1:20" x14ac:dyDescent="0.45">
      <c r="A6" s="69" t="s">
        <v>413</v>
      </c>
      <c r="B6" s="70" t="s">
        <v>90</v>
      </c>
      <c r="C6" s="177">
        <v>5</v>
      </c>
      <c r="D6" s="177">
        <v>150</v>
      </c>
      <c r="E6" s="70" t="s">
        <v>85</v>
      </c>
      <c r="F6" s="70" t="s">
        <v>85</v>
      </c>
      <c r="G6" s="70" t="s">
        <v>85</v>
      </c>
      <c r="H6" s="70" t="s">
        <v>99</v>
      </c>
      <c r="I6" s="70" t="s">
        <v>85</v>
      </c>
      <c r="J6" s="71" t="s">
        <v>427</v>
      </c>
      <c r="K6" s="70" t="s">
        <v>59</v>
      </c>
      <c r="L6" s="70" t="s">
        <v>59</v>
      </c>
      <c r="M6" s="70" t="s">
        <v>58</v>
      </c>
      <c r="N6" s="70" t="s">
        <v>59</v>
      </c>
      <c r="O6" s="70" t="s">
        <v>59</v>
      </c>
      <c r="P6" s="72" t="s">
        <v>101</v>
      </c>
      <c r="Q6" s="34"/>
      <c r="R6" s="23"/>
      <c r="S6" s="28"/>
      <c r="T6" s="31"/>
    </row>
    <row r="7" spans="1:20" ht="27" customHeight="1" x14ac:dyDescent="0.45">
      <c r="A7" s="69" t="s">
        <v>432</v>
      </c>
      <c r="B7" s="70" t="s">
        <v>110</v>
      </c>
      <c r="C7" s="70" t="s">
        <v>85</v>
      </c>
      <c r="D7" s="70" t="s">
        <v>85</v>
      </c>
      <c r="E7" s="70" t="s">
        <v>85</v>
      </c>
      <c r="F7" s="70" t="s">
        <v>85</v>
      </c>
      <c r="G7" s="70" t="s">
        <v>85</v>
      </c>
      <c r="H7" s="70" t="s">
        <v>222</v>
      </c>
      <c r="I7" s="70" t="s">
        <v>174</v>
      </c>
      <c r="J7" s="77" t="s">
        <v>427</v>
      </c>
      <c r="K7" s="70" t="s">
        <v>59</v>
      </c>
      <c r="L7" s="70" t="s">
        <v>59</v>
      </c>
      <c r="M7" s="70" t="s">
        <v>58</v>
      </c>
      <c r="N7" s="70" t="s">
        <v>59</v>
      </c>
      <c r="O7" s="70" t="s">
        <v>59</v>
      </c>
      <c r="P7" s="72" t="s">
        <v>223</v>
      </c>
      <c r="Q7" s="73"/>
      <c r="R7" s="74"/>
      <c r="S7" s="75"/>
      <c r="T7" s="76"/>
    </row>
    <row r="8" spans="1:20" x14ac:dyDescent="0.45">
      <c r="A8" s="90" t="s">
        <v>433</v>
      </c>
      <c r="B8" s="90" t="s">
        <v>419</v>
      </c>
      <c r="C8" s="90" t="s">
        <v>85</v>
      </c>
      <c r="D8" s="90" t="s">
        <v>85</v>
      </c>
      <c r="E8" s="90" t="s">
        <v>85</v>
      </c>
      <c r="F8" s="90" t="s">
        <v>85</v>
      </c>
      <c r="G8" s="90" t="s">
        <v>85</v>
      </c>
      <c r="H8" s="90" t="s">
        <v>120</v>
      </c>
      <c r="I8" s="90" t="s">
        <v>224</v>
      </c>
      <c r="J8" s="91"/>
      <c r="K8" s="90" t="s">
        <v>58</v>
      </c>
      <c r="L8" s="90" t="s">
        <v>59</v>
      </c>
      <c r="M8" s="90" t="s">
        <v>58</v>
      </c>
      <c r="N8" s="90" t="s">
        <v>59</v>
      </c>
      <c r="O8" s="90" t="s">
        <v>59</v>
      </c>
      <c r="P8" s="92" t="s">
        <v>225</v>
      </c>
      <c r="Q8" s="65"/>
      <c r="R8" s="66"/>
      <c r="S8" s="67"/>
      <c r="T8" s="68"/>
    </row>
    <row r="9" spans="1:20" ht="26.25" x14ac:dyDescent="0.45">
      <c r="A9" s="5" t="s">
        <v>422</v>
      </c>
      <c r="B9" s="5" t="s">
        <v>422</v>
      </c>
      <c r="C9" s="5" t="s">
        <v>85</v>
      </c>
      <c r="D9" s="5" t="s">
        <v>85</v>
      </c>
      <c r="E9" s="5" t="s">
        <v>85</v>
      </c>
      <c r="F9" s="5" t="s">
        <v>85</v>
      </c>
      <c r="G9" s="5" t="s">
        <v>85</v>
      </c>
      <c r="H9" s="5" t="s">
        <v>86</v>
      </c>
      <c r="I9" s="5" t="s">
        <v>85</v>
      </c>
      <c r="J9" s="13" t="s">
        <v>434</v>
      </c>
      <c r="K9" s="5" t="s">
        <v>59</v>
      </c>
      <c r="L9" s="5" t="s">
        <v>59</v>
      </c>
      <c r="M9" s="5" t="s">
        <v>58</v>
      </c>
      <c r="N9" s="5" t="s">
        <v>59</v>
      </c>
      <c r="O9" s="5" t="s">
        <v>59</v>
      </c>
      <c r="P9" s="7" t="s">
        <v>226</v>
      </c>
      <c r="Q9" s="105"/>
      <c r="R9" s="106"/>
      <c r="S9" s="107"/>
      <c r="T9" s="108"/>
    </row>
    <row r="10" spans="1:20" x14ac:dyDescent="0.45">
      <c r="I10" s="89"/>
    </row>
    <row r="11" spans="1:20" x14ac:dyDescent="0.45">
      <c r="A11" s="155"/>
      <c r="B11" s="131"/>
      <c r="C11" s="132"/>
    </row>
    <row r="12" spans="1:20" x14ac:dyDescent="0.45">
      <c r="A12" s="17"/>
      <c r="B12" s="16"/>
      <c r="C12" s="18"/>
    </row>
    <row r="13" spans="1:20" ht="39" customHeight="1" x14ac:dyDescent="0.45">
      <c r="A13" s="14"/>
      <c r="B13" s="15"/>
      <c r="C13" s="38"/>
      <c r="F13" s="89"/>
    </row>
    <row r="15" spans="1:20" x14ac:dyDescent="0.45">
      <c r="A15" s="145" t="s">
        <v>67</v>
      </c>
      <c r="B15" s="136"/>
      <c r="C15" s="134" t="s">
        <v>3</v>
      </c>
      <c r="D15" s="135"/>
      <c r="E15" s="135"/>
      <c r="F15" s="136"/>
      <c r="G15" s="134" t="s">
        <v>68</v>
      </c>
      <c r="H15" s="131"/>
      <c r="I15" s="132"/>
      <c r="J15" s="134" t="s">
        <v>69</v>
      </c>
      <c r="K15" s="131"/>
      <c r="L15" s="131"/>
      <c r="M15" s="131"/>
      <c r="N15" s="132"/>
      <c r="O15" s="134" t="s">
        <v>70</v>
      </c>
      <c r="P15" s="132"/>
      <c r="Q15" s="134" t="s">
        <v>71</v>
      </c>
      <c r="R15" s="132"/>
    </row>
    <row r="16" spans="1:20" x14ac:dyDescent="0.45">
      <c r="A16" s="146"/>
      <c r="B16" s="139"/>
      <c r="C16" s="137"/>
      <c r="D16" s="138"/>
      <c r="E16" s="138"/>
      <c r="F16" s="139"/>
      <c r="G16" s="19" t="s">
        <v>72</v>
      </c>
      <c r="H16" s="19" t="s">
        <v>73</v>
      </c>
      <c r="I16" s="19" t="s">
        <v>3</v>
      </c>
      <c r="J16" s="19" t="s">
        <v>40</v>
      </c>
      <c r="K16" s="154" t="s">
        <v>3</v>
      </c>
      <c r="L16" s="141"/>
      <c r="M16" s="141"/>
      <c r="N16" s="142"/>
      <c r="O16" s="19" t="s">
        <v>74</v>
      </c>
      <c r="P16" s="19" t="s">
        <v>3</v>
      </c>
      <c r="Q16" s="19" t="s">
        <v>75</v>
      </c>
      <c r="R16" s="25" t="s">
        <v>76</v>
      </c>
    </row>
    <row r="17" spans="1:18" ht="39" customHeight="1" x14ac:dyDescent="0.45">
      <c r="A17" s="158" t="s">
        <v>435</v>
      </c>
      <c r="B17" s="142"/>
      <c r="C17" s="140" t="s">
        <v>227</v>
      </c>
      <c r="D17" s="141"/>
      <c r="E17" s="141"/>
      <c r="F17" s="142"/>
      <c r="G17" s="46" t="s">
        <v>99</v>
      </c>
      <c r="H17" s="44"/>
      <c r="I17" s="45"/>
      <c r="J17" s="39" t="s">
        <v>126</v>
      </c>
      <c r="K17" s="144" t="s">
        <v>228</v>
      </c>
      <c r="L17" s="141"/>
      <c r="M17" s="141"/>
      <c r="N17" s="142"/>
      <c r="O17" s="23" t="s">
        <v>229</v>
      </c>
      <c r="P17" s="24"/>
      <c r="Q17" s="24" t="s">
        <v>230</v>
      </c>
      <c r="R17" s="27"/>
    </row>
    <row r="18" spans="1:18" x14ac:dyDescent="0.45">
      <c r="A18" s="158" t="s">
        <v>436</v>
      </c>
      <c r="B18" s="142"/>
      <c r="C18" s="140" t="s">
        <v>231</v>
      </c>
      <c r="D18" s="141"/>
      <c r="E18" s="141"/>
      <c r="F18" s="142"/>
      <c r="G18" s="46" t="s">
        <v>138</v>
      </c>
      <c r="H18" s="158"/>
      <c r="I18" s="142"/>
      <c r="J18" s="140" t="s">
        <v>126</v>
      </c>
      <c r="K18" s="141" t="s">
        <v>232</v>
      </c>
      <c r="L18" s="141"/>
      <c r="M18" s="142"/>
      <c r="N18" s="46"/>
      <c r="O18" s="158" t="s">
        <v>233</v>
      </c>
      <c r="P18" s="142"/>
      <c r="Q18" s="140" t="s">
        <v>234</v>
      </c>
      <c r="R18" s="141"/>
    </row>
    <row r="19" spans="1:18" x14ac:dyDescent="0.45">
      <c r="A19" s="158" t="s">
        <v>437</v>
      </c>
      <c r="B19" s="142"/>
      <c r="C19" s="140" t="s">
        <v>236</v>
      </c>
      <c r="D19" s="141"/>
      <c r="E19" s="141"/>
      <c r="F19" s="142"/>
      <c r="G19" s="46" t="s">
        <v>237</v>
      </c>
      <c r="H19" s="158"/>
      <c r="I19" s="142"/>
      <c r="J19" s="140" t="s">
        <v>126</v>
      </c>
      <c r="K19" s="141" t="s">
        <v>151</v>
      </c>
      <c r="L19" s="141"/>
      <c r="M19" s="142"/>
      <c r="N19" s="46"/>
      <c r="O19" s="158" t="s">
        <v>235</v>
      </c>
      <c r="P19" s="142"/>
      <c r="Q19" s="140" t="s">
        <v>238</v>
      </c>
      <c r="R19" s="141"/>
    </row>
    <row r="20" spans="1:18" x14ac:dyDescent="0.45">
      <c r="A20" s="158" t="s">
        <v>438</v>
      </c>
      <c r="B20" s="142"/>
      <c r="C20" s="140" t="s">
        <v>239</v>
      </c>
      <c r="D20" s="141"/>
      <c r="E20" s="141"/>
      <c r="F20" s="142"/>
      <c r="G20" s="46" t="s">
        <v>240</v>
      </c>
      <c r="H20" s="158"/>
      <c r="I20" s="142"/>
      <c r="J20" s="140" t="s">
        <v>126</v>
      </c>
      <c r="K20" s="141" t="s">
        <v>241</v>
      </c>
      <c r="L20" s="141"/>
      <c r="M20" s="142"/>
      <c r="N20" s="46"/>
      <c r="O20" s="158" t="s">
        <v>242</v>
      </c>
      <c r="P20" s="142"/>
      <c r="Q20" s="140" t="s">
        <v>243</v>
      </c>
      <c r="R20" s="141"/>
    </row>
    <row r="21" spans="1:18" x14ac:dyDescent="0.45">
      <c r="A21" s="158" t="s">
        <v>439</v>
      </c>
      <c r="B21" s="142"/>
      <c r="C21" s="140" t="s">
        <v>244</v>
      </c>
      <c r="D21" s="141"/>
      <c r="E21" s="141"/>
      <c r="F21" s="142"/>
      <c r="G21" s="46" t="s">
        <v>240</v>
      </c>
      <c r="H21" s="158"/>
      <c r="I21" s="142"/>
      <c r="J21" s="140" t="s">
        <v>126</v>
      </c>
      <c r="K21" s="141" t="s">
        <v>245</v>
      </c>
      <c r="L21" s="141"/>
      <c r="M21" s="142"/>
      <c r="N21" s="46"/>
      <c r="O21" s="158" t="s">
        <v>242</v>
      </c>
      <c r="P21" s="142"/>
      <c r="Q21" s="140" t="s">
        <v>243</v>
      </c>
      <c r="R21" s="141"/>
    </row>
    <row r="23" spans="1:18" x14ac:dyDescent="0.45">
      <c r="C23" s="158"/>
      <c r="D23" s="142"/>
      <c r="E23" s="140"/>
      <c r="F23" s="141"/>
      <c r="G23" s="141"/>
      <c r="H23" s="142"/>
      <c r="I23" s="46"/>
    </row>
  </sheetData>
  <mergeCells count="40">
    <mergeCell ref="J21:M21"/>
    <mergeCell ref="O21:P21"/>
    <mergeCell ref="Q21:R21"/>
    <mergeCell ref="C23:D23"/>
    <mergeCell ref="E23:H23"/>
    <mergeCell ref="A21:B21"/>
    <mergeCell ref="C21:F21"/>
    <mergeCell ref="H21:I21"/>
    <mergeCell ref="Q19:R19"/>
    <mergeCell ref="A20:B20"/>
    <mergeCell ref="C20:F20"/>
    <mergeCell ref="H20:I20"/>
    <mergeCell ref="J20:M20"/>
    <mergeCell ref="O20:P20"/>
    <mergeCell ref="Q20:R20"/>
    <mergeCell ref="A19:B19"/>
    <mergeCell ref="C19:F19"/>
    <mergeCell ref="H19:I19"/>
    <mergeCell ref="J19:M19"/>
    <mergeCell ref="O19:P19"/>
    <mergeCell ref="Q18:R18"/>
    <mergeCell ref="A18:B18"/>
    <mergeCell ref="C18:F18"/>
    <mergeCell ref="H18:I18"/>
    <mergeCell ref="J18:M18"/>
    <mergeCell ref="O18:P18"/>
    <mergeCell ref="A1:P1"/>
    <mergeCell ref="B3:P3"/>
    <mergeCell ref="A15:B16"/>
    <mergeCell ref="J15:N15"/>
    <mergeCell ref="K16:N16"/>
    <mergeCell ref="O15:P15"/>
    <mergeCell ref="C15:F16"/>
    <mergeCell ref="G15:I15"/>
    <mergeCell ref="C17:F17"/>
    <mergeCell ref="A11:C11"/>
    <mergeCell ref="B2:P2"/>
    <mergeCell ref="K17:N17"/>
    <mergeCell ref="Q15:R15"/>
    <mergeCell ref="A17:B17"/>
  </mergeCells>
  <hyperlinks>
    <hyperlink ref="A1" location="'Listado Objetos de Dominio'!A1" display="&lt;-Volver al inicio" xr:uid="{00000000-0004-0000-0800-000000000000}"/>
    <hyperlink ref="Q4" location="'Objeto Dominio N'!A16" display="'Objeto Dominio N'!A16" xr:uid="{00000000-0004-0000-0800-000001000000}"/>
    <hyperlink ref="R4" location="'Objeto Dominio 1'!A17" display="'Objeto Dominio 1'!A17" xr:uid="{00000000-0004-0000-0800-000002000000}"/>
    <hyperlink ref="S4" location="'Objeto Dominio 1'!A18" display="'Objeto Dominio 1'!A18" xr:uid="{00000000-0004-0000-0800-000003000000}"/>
    <hyperlink ref="T4" location="'Objeto Dominio 1'!A19" display="'Objeto Dominio 1'!A19" xr:uid="{00000000-0004-0000-0800-000004000000}"/>
    <hyperlink ref="A17" location="'Objeto Dominio N'!R4" display="Reponsabilidad 2" xr:uid="{00000000-0004-0000-0800-000005000000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7"/>
  <sheetViews>
    <sheetView topLeftCell="A11" zoomScaleNormal="100" workbookViewId="0">
      <selection activeCell="A26" sqref="A26"/>
    </sheetView>
  </sheetViews>
  <sheetFormatPr baseColWidth="10" defaultColWidth="11.3984375" defaultRowHeight="14.25" x14ac:dyDescent="0.45"/>
  <cols>
    <col min="1" max="1" width="23.86328125" style="1" bestFit="1" customWidth="1"/>
    <col min="2" max="2" width="15.265625" style="1" bestFit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Dominio'!$A$9</f>
        <v>Solicitud cotización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x14ac:dyDescent="0.45">
      <c r="A3" s="4" t="s">
        <v>38</v>
      </c>
      <c r="B3" s="160" t="str">
        <f>'Listado Objetos de Dominio'!$B$9</f>
        <v>Se refiere al documento que diligencia el cliente solicitando la cotización de ciertos productos a los proveedores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str">
        <f>A21</f>
        <v>registerQuotationRequest</v>
      </c>
      <c r="R4" s="35" t="str">
        <f>A22</f>
        <v>getQuotationRequest</v>
      </c>
      <c r="S4" s="36" t="str">
        <f>A23</f>
        <v>getAllQuotationRequestsByUserId</v>
      </c>
      <c r="T4" s="2" t="str">
        <f>A24</f>
        <v>searchQuotationRequestsByTitle</v>
      </c>
    </row>
    <row r="5" spans="1:20" x14ac:dyDescent="0.45">
      <c r="A5" s="11" t="s">
        <v>82</v>
      </c>
      <c r="B5" s="5" t="s">
        <v>83</v>
      </c>
      <c r="C5" s="176">
        <v>36</v>
      </c>
      <c r="D5" s="176">
        <v>36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246</v>
      </c>
      <c r="Q5" s="34"/>
      <c r="R5" s="23"/>
      <c r="S5" s="28"/>
      <c r="T5" s="31"/>
    </row>
    <row r="6" spans="1:20" x14ac:dyDescent="0.45">
      <c r="A6" s="69" t="s">
        <v>440</v>
      </c>
      <c r="B6" s="70" t="s">
        <v>90</v>
      </c>
      <c r="C6" s="177">
        <v>5</v>
      </c>
      <c r="D6" s="177">
        <v>200</v>
      </c>
      <c r="E6" s="70" t="s">
        <v>85</v>
      </c>
      <c r="F6" s="70" t="s">
        <v>85</v>
      </c>
      <c r="G6" s="70" t="s">
        <v>85</v>
      </c>
      <c r="H6" s="70" t="s">
        <v>61</v>
      </c>
      <c r="I6" s="70" t="s">
        <v>85</v>
      </c>
      <c r="J6" s="71" t="s">
        <v>247</v>
      </c>
      <c r="K6" s="70" t="s">
        <v>59</v>
      </c>
      <c r="L6" s="70" t="s">
        <v>59</v>
      </c>
      <c r="M6" s="70" t="s">
        <v>58</v>
      </c>
      <c r="N6" s="70" t="s">
        <v>59</v>
      </c>
      <c r="O6" s="70" t="s">
        <v>59</v>
      </c>
      <c r="P6" s="72" t="s">
        <v>248</v>
      </c>
      <c r="Q6" s="34"/>
      <c r="R6" s="23"/>
      <c r="S6" s="28"/>
      <c r="T6" s="31"/>
    </row>
    <row r="7" spans="1:20" x14ac:dyDescent="0.45">
      <c r="A7" s="69" t="s">
        <v>428</v>
      </c>
      <c r="B7" s="70" t="s">
        <v>90</v>
      </c>
      <c r="C7" s="177">
        <v>1</v>
      </c>
      <c r="D7" s="177">
        <v>1000</v>
      </c>
      <c r="E7" s="70" t="s">
        <v>85</v>
      </c>
      <c r="F7" s="70" t="s">
        <v>85</v>
      </c>
      <c r="G7" s="70" t="s">
        <v>85</v>
      </c>
      <c r="H7" s="70" t="s">
        <v>61</v>
      </c>
      <c r="I7" s="70" t="s">
        <v>85</v>
      </c>
      <c r="J7" s="71" t="s">
        <v>249</v>
      </c>
      <c r="K7" s="70" t="s">
        <v>59</v>
      </c>
      <c r="L7" s="70" t="s">
        <v>59</v>
      </c>
      <c r="M7" s="70" t="s">
        <v>58</v>
      </c>
      <c r="N7" s="70" t="s">
        <v>59</v>
      </c>
      <c r="O7" s="70" t="s">
        <v>59</v>
      </c>
      <c r="P7" s="72" t="s">
        <v>250</v>
      </c>
      <c r="Q7" s="73"/>
      <c r="R7" s="74"/>
      <c r="S7" s="75"/>
      <c r="T7" s="76"/>
    </row>
    <row r="8" spans="1:20" x14ac:dyDescent="0.45">
      <c r="A8" s="90" t="s">
        <v>441</v>
      </c>
      <c r="B8" s="90" t="s">
        <v>119</v>
      </c>
      <c r="C8" s="90" t="s">
        <v>85</v>
      </c>
      <c r="D8" s="90" t="s">
        <v>85</v>
      </c>
      <c r="E8" s="90" t="s">
        <v>85</v>
      </c>
      <c r="F8" s="90" t="s">
        <v>85</v>
      </c>
      <c r="G8" s="90" t="s">
        <v>85</v>
      </c>
      <c r="H8" s="90" t="s">
        <v>120</v>
      </c>
      <c r="I8" s="90" t="s">
        <v>224</v>
      </c>
      <c r="J8" s="91"/>
      <c r="K8" s="90" t="s">
        <v>58</v>
      </c>
      <c r="L8" s="90" t="s">
        <v>59</v>
      </c>
      <c r="M8" s="90" t="s">
        <v>58</v>
      </c>
      <c r="N8" s="90" t="s">
        <v>59</v>
      </c>
      <c r="O8" s="90" t="s">
        <v>59</v>
      </c>
      <c r="P8" s="92" t="s">
        <v>251</v>
      </c>
      <c r="Q8" s="93"/>
      <c r="R8" s="94"/>
      <c r="S8" s="95"/>
      <c r="T8" s="96"/>
    </row>
    <row r="9" spans="1:20" ht="27" customHeight="1" x14ac:dyDescent="0.45">
      <c r="A9" s="63" t="s">
        <v>442</v>
      </c>
      <c r="B9" s="63" t="s">
        <v>119</v>
      </c>
      <c r="C9" s="63" t="s">
        <v>85</v>
      </c>
      <c r="D9" s="63" t="s">
        <v>85</v>
      </c>
      <c r="E9" s="63" t="s">
        <v>85</v>
      </c>
      <c r="F9" s="63" t="s">
        <v>85</v>
      </c>
      <c r="G9" s="63" t="s">
        <v>85</v>
      </c>
      <c r="H9" s="63" t="s">
        <v>120</v>
      </c>
      <c r="I9" s="63" t="s">
        <v>85</v>
      </c>
      <c r="J9" s="91" t="s">
        <v>252</v>
      </c>
      <c r="K9" s="63" t="s">
        <v>59</v>
      </c>
      <c r="L9" s="63" t="s">
        <v>59</v>
      </c>
      <c r="M9" s="63" t="s">
        <v>58</v>
      </c>
      <c r="N9" s="63" t="s">
        <v>59</v>
      </c>
      <c r="O9" s="63" t="s">
        <v>59</v>
      </c>
      <c r="P9" s="64" t="s">
        <v>253</v>
      </c>
      <c r="Q9" s="65"/>
      <c r="R9" s="66"/>
      <c r="S9" s="67"/>
      <c r="T9" s="68"/>
    </row>
    <row r="10" spans="1:20" ht="27" customHeight="1" x14ac:dyDescent="0.45">
      <c r="A10" s="90" t="s">
        <v>429</v>
      </c>
      <c r="B10" s="90" t="s">
        <v>110</v>
      </c>
      <c r="C10" s="90" t="s">
        <v>85</v>
      </c>
      <c r="D10" s="90" t="s">
        <v>85</v>
      </c>
      <c r="E10" s="90" t="s">
        <v>85</v>
      </c>
      <c r="F10" s="90" t="s">
        <v>85</v>
      </c>
      <c r="G10" s="90" t="s">
        <v>85</v>
      </c>
      <c r="H10" s="90" t="s">
        <v>254</v>
      </c>
      <c r="I10" s="100" t="s">
        <v>174</v>
      </c>
      <c r="J10" s="91" t="s">
        <v>255</v>
      </c>
      <c r="K10" s="99" t="s">
        <v>59</v>
      </c>
      <c r="L10" s="90" t="s">
        <v>59</v>
      </c>
      <c r="M10" s="90" t="s">
        <v>58</v>
      </c>
      <c r="N10" s="90" t="s">
        <v>59</v>
      </c>
      <c r="O10" s="90" t="s">
        <v>59</v>
      </c>
      <c r="P10" s="92" t="s">
        <v>256</v>
      </c>
      <c r="Q10" s="65"/>
      <c r="R10" s="66"/>
      <c r="S10" s="67"/>
      <c r="T10" s="68"/>
    </row>
    <row r="11" spans="1:20" ht="27" customHeight="1" x14ac:dyDescent="0.45">
      <c r="A11" s="5" t="s">
        <v>443</v>
      </c>
      <c r="B11" s="5" t="s">
        <v>443</v>
      </c>
      <c r="C11" s="5" t="s">
        <v>85</v>
      </c>
      <c r="D11" s="5" t="s">
        <v>85</v>
      </c>
      <c r="E11" s="5" t="s">
        <v>85</v>
      </c>
      <c r="F11" s="5" t="s">
        <v>85</v>
      </c>
      <c r="G11" s="5" t="s">
        <v>85</v>
      </c>
      <c r="H11" s="5" t="s">
        <v>86</v>
      </c>
      <c r="I11" s="5" t="s">
        <v>85</v>
      </c>
      <c r="J11" s="13" t="s">
        <v>257</v>
      </c>
      <c r="K11" s="5" t="s">
        <v>59</v>
      </c>
      <c r="L11" s="5" t="s">
        <v>59</v>
      </c>
      <c r="M11" s="5" t="s">
        <v>58</v>
      </c>
      <c r="N11" s="5" t="s">
        <v>59</v>
      </c>
      <c r="O11" s="5" t="s">
        <v>59</v>
      </c>
      <c r="P11" s="7" t="s">
        <v>258</v>
      </c>
      <c r="Q11" s="105"/>
      <c r="R11" s="106"/>
      <c r="S11" s="107"/>
      <c r="T11" s="108"/>
    </row>
    <row r="12" spans="1:20" x14ac:dyDescent="0.45">
      <c r="A12" s="5" t="s">
        <v>422</v>
      </c>
      <c r="B12" s="5" t="s">
        <v>422</v>
      </c>
      <c r="C12" s="5" t="s">
        <v>85</v>
      </c>
      <c r="D12" s="5" t="s">
        <v>85</v>
      </c>
      <c r="E12" s="5" t="s">
        <v>85</v>
      </c>
      <c r="F12" s="5" t="s">
        <v>85</v>
      </c>
      <c r="G12" s="5" t="s">
        <v>85</v>
      </c>
      <c r="H12" s="5" t="s">
        <v>86</v>
      </c>
      <c r="I12" s="5" t="s">
        <v>85</v>
      </c>
      <c r="J12" s="13" t="s">
        <v>259</v>
      </c>
      <c r="K12" s="5" t="s">
        <v>59</v>
      </c>
      <c r="L12" s="5" t="s">
        <v>59</v>
      </c>
      <c r="M12" s="5" t="s">
        <v>58</v>
      </c>
      <c r="N12" s="5" t="s">
        <v>59</v>
      </c>
      <c r="O12" s="5" t="s">
        <v>59</v>
      </c>
      <c r="P12" s="7" t="s">
        <v>260</v>
      </c>
      <c r="Q12" s="105"/>
      <c r="R12" s="106"/>
      <c r="S12" s="107"/>
      <c r="T12" s="108"/>
    </row>
    <row r="13" spans="1:20" x14ac:dyDescent="0.45">
      <c r="A13" s="103"/>
      <c r="B13" s="103"/>
      <c r="C13" s="103"/>
      <c r="D13" s="103"/>
      <c r="E13" s="103"/>
      <c r="F13" s="103"/>
      <c r="G13" s="103"/>
      <c r="H13" s="103"/>
      <c r="I13" s="103"/>
      <c r="J13" s="109"/>
      <c r="K13" s="103"/>
      <c r="L13" s="103"/>
      <c r="M13" s="103"/>
      <c r="N13" s="103"/>
      <c r="O13" s="103"/>
      <c r="P13" s="104"/>
      <c r="Q13" s="105"/>
      <c r="R13" s="106"/>
      <c r="S13" s="107"/>
      <c r="T13" s="108"/>
    </row>
    <row r="14" spans="1:20" x14ac:dyDescent="0.45">
      <c r="I14" s="89"/>
    </row>
    <row r="15" spans="1:20" x14ac:dyDescent="0.45">
      <c r="A15" s="155"/>
      <c r="B15" s="131"/>
      <c r="C15" s="132"/>
    </row>
    <row r="16" spans="1:20" x14ac:dyDescent="0.45">
      <c r="A16" s="17"/>
      <c r="B16" s="16"/>
      <c r="C16" s="18"/>
    </row>
    <row r="17" spans="1:18" ht="39" customHeight="1" x14ac:dyDescent="0.45">
      <c r="A17" s="14"/>
      <c r="B17" s="15"/>
      <c r="C17" s="38"/>
      <c r="F17" s="89"/>
    </row>
    <row r="19" spans="1:18" x14ac:dyDescent="0.45">
      <c r="A19" s="145" t="s">
        <v>67</v>
      </c>
      <c r="B19" s="136"/>
      <c r="C19" s="134" t="s">
        <v>3</v>
      </c>
      <c r="D19" s="135"/>
      <c r="E19" s="135"/>
      <c r="F19" s="136"/>
      <c r="G19" s="134" t="s">
        <v>68</v>
      </c>
      <c r="H19" s="131"/>
      <c r="I19" s="132"/>
      <c r="J19" s="134" t="s">
        <v>69</v>
      </c>
      <c r="K19" s="131"/>
      <c r="L19" s="131"/>
      <c r="M19" s="131"/>
      <c r="N19" s="132"/>
      <c r="O19" s="134" t="s">
        <v>70</v>
      </c>
      <c r="P19" s="132"/>
      <c r="Q19" s="134" t="s">
        <v>71</v>
      </c>
      <c r="R19" s="132"/>
    </row>
    <row r="20" spans="1:18" x14ac:dyDescent="0.45">
      <c r="A20" s="146"/>
      <c r="B20" s="139"/>
      <c r="C20" s="137"/>
      <c r="D20" s="138"/>
      <c r="E20" s="138"/>
      <c r="F20" s="139"/>
      <c r="G20" s="19" t="s">
        <v>72</v>
      </c>
      <c r="H20" s="19" t="s">
        <v>73</v>
      </c>
      <c r="I20" s="19" t="s">
        <v>3</v>
      </c>
      <c r="J20" s="19" t="s">
        <v>40</v>
      </c>
      <c r="K20" s="154" t="s">
        <v>3</v>
      </c>
      <c r="L20" s="141"/>
      <c r="M20" s="141"/>
      <c r="N20" s="142"/>
      <c r="O20" s="19" t="s">
        <v>74</v>
      </c>
      <c r="P20" s="19" t="s">
        <v>3</v>
      </c>
      <c r="Q20" s="19" t="s">
        <v>75</v>
      </c>
      <c r="R20" s="25" t="s">
        <v>76</v>
      </c>
    </row>
    <row r="21" spans="1:18" ht="47.25" customHeight="1" x14ac:dyDescent="0.45">
      <c r="A21" s="158" t="s">
        <v>261</v>
      </c>
      <c r="B21" s="142"/>
      <c r="C21" s="140" t="s">
        <v>262</v>
      </c>
      <c r="D21" s="141"/>
      <c r="E21" s="141"/>
      <c r="F21" s="142"/>
      <c r="G21" s="46" t="s">
        <v>263</v>
      </c>
      <c r="H21" s="44"/>
      <c r="I21" s="45"/>
      <c r="J21" s="39" t="s">
        <v>126</v>
      </c>
      <c r="K21" s="144" t="s">
        <v>264</v>
      </c>
      <c r="L21" s="141"/>
      <c r="M21" s="141"/>
      <c r="N21" s="142"/>
      <c r="O21" s="23" t="s">
        <v>265</v>
      </c>
      <c r="P21" s="24"/>
      <c r="Q21" s="24" t="s">
        <v>266</v>
      </c>
      <c r="R21" s="27"/>
    </row>
    <row r="22" spans="1:18" ht="27.75" customHeight="1" x14ac:dyDescent="0.45">
      <c r="A22" s="158" t="s">
        <v>267</v>
      </c>
      <c r="B22" s="142"/>
      <c r="C22" s="140" t="s">
        <v>268</v>
      </c>
      <c r="D22" s="141"/>
      <c r="E22" s="141"/>
      <c r="F22" s="142"/>
      <c r="G22" s="46" t="s">
        <v>269</v>
      </c>
      <c r="H22" s="44"/>
      <c r="I22" s="45"/>
      <c r="J22" s="39" t="s">
        <v>126</v>
      </c>
      <c r="K22" s="144" t="s">
        <v>270</v>
      </c>
      <c r="L22" s="141"/>
      <c r="M22" s="141"/>
      <c r="N22" s="142"/>
      <c r="O22" s="23" t="s">
        <v>271</v>
      </c>
      <c r="P22" s="24"/>
      <c r="Q22" s="24" t="s">
        <v>272</v>
      </c>
      <c r="R22" s="27"/>
    </row>
    <row r="23" spans="1:18" ht="27.75" customHeight="1" x14ac:dyDescent="0.45">
      <c r="A23" s="158" t="s">
        <v>273</v>
      </c>
      <c r="B23" s="142"/>
      <c r="C23" s="140" t="s">
        <v>274</v>
      </c>
      <c r="D23" s="141"/>
      <c r="E23" s="141"/>
      <c r="F23" s="142"/>
      <c r="G23" s="46" t="s">
        <v>138</v>
      </c>
      <c r="H23" s="44"/>
      <c r="I23" s="45"/>
      <c r="J23" s="39" t="s">
        <v>126</v>
      </c>
      <c r="K23" s="144" t="s">
        <v>275</v>
      </c>
      <c r="L23" s="141"/>
      <c r="M23" s="141"/>
      <c r="N23" s="142"/>
      <c r="O23" s="23" t="s">
        <v>276</v>
      </c>
      <c r="P23" s="24"/>
      <c r="Q23" s="24" t="s">
        <v>234</v>
      </c>
      <c r="R23" s="27"/>
    </row>
    <row r="24" spans="1:18" ht="34.5" customHeight="1" x14ac:dyDescent="0.45">
      <c r="A24" s="158" t="s">
        <v>277</v>
      </c>
      <c r="B24" s="142"/>
      <c r="C24" s="140" t="s">
        <v>278</v>
      </c>
      <c r="D24" s="141"/>
      <c r="E24" s="141"/>
      <c r="F24" s="142"/>
      <c r="G24" s="46" t="s">
        <v>279</v>
      </c>
      <c r="H24" s="44"/>
      <c r="I24" s="45"/>
      <c r="J24" s="39" t="s">
        <v>126</v>
      </c>
      <c r="K24" s="144" t="s">
        <v>280</v>
      </c>
      <c r="L24" s="141"/>
      <c r="M24" s="141"/>
      <c r="N24" s="142"/>
      <c r="O24" s="23" t="s">
        <v>281</v>
      </c>
      <c r="P24" s="24"/>
      <c r="Q24" s="24" t="s">
        <v>282</v>
      </c>
      <c r="R24" s="27"/>
    </row>
    <row r="25" spans="1:18" ht="34.5" customHeight="1" x14ac:dyDescent="0.45">
      <c r="A25" s="174" t="s">
        <v>283</v>
      </c>
      <c r="B25" s="172"/>
      <c r="C25" s="175" t="s">
        <v>284</v>
      </c>
      <c r="D25" s="172"/>
      <c r="E25" s="172"/>
      <c r="F25" s="172"/>
      <c r="G25" s="119" t="s">
        <v>285</v>
      </c>
      <c r="H25" s="117"/>
      <c r="I25" s="118"/>
      <c r="J25" s="120" t="s">
        <v>126</v>
      </c>
      <c r="K25" s="121" t="s">
        <v>286</v>
      </c>
      <c r="L25" s="121"/>
      <c r="M25" s="121"/>
      <c r="N25" s="121"/>
      <c r="O25" s="106" t="s">
        <v>287</v>
      </c>
      <c r="P25" s="122"/>
      <c r="Q25" s="122" t="s">
        <v>288</v>
      </c>
      <c r="R25" s="106"/>
    </row>
    <row r="26" spans="1:18" x14ac:dyDescent="0.45">
      <c r="A26" t="s">
        <v>289</v>
      </c>
      <c r="C26" t="s">
        <v>290</v>
      </c>
      <c r="G26" t="s">
        <v>269</v>
      </c>
      <c r="J26" t="s">
        <v>126</v>
      </c>
      <c r="K26" t="s">
        <v>288</v>
      </c>
      <c r="O26" t="s">
        <v>291</v>
      </c>
      <c r="Q26" t="s">
        <v>292</v>
      </c>
    </row>
    <row r="27" spans="1:18" x14ac:dyDescent="0.45">
      <c r="A27" t="s">
        <v>293</v>
      </c>
      <c r="C27" t="s">
        <v>294</v>
      </c>
      <c r="G27" t="s">
        <v>269</v>
      </c>
      <c r="J27" t="s">
        <v>126</v>
      </c>
      <c r="K27" t="s">
        <v>151</v>
      </c>
      <c r="O27" t="s">
        <v>295</v>
      </c>
      <c r="Q27" t="s">
        <v>238</v>
      </c>
    </row>
  </sheetData>
  <mergeCells count="25">
    <mergeCell ref="A1:P1"/>
    <mergeCell ref="K20:N20"/>
    <mergeCell ref="C25:F25"/>
    <mergeCell ref="A23:B23"/>
    <mergeCell ref="A15:C15"/>
    <mergeCell ref="C19:F20"/>
    <mergeCell ref="A22:B22"/>
    <mergeCell ref="C22:F22"/>
    <mergeCell ref="K22:N22"/>
    <mergeCell ref="B3:P3"/>
    <mergeCell ref="C21:F21"/>
    <mergeCell ref="A25:B25"/>
    <mergeCell ref="A19:B20"/>
    <mergeCell ref="K24:N24"/>
    <mergeCell ref="Q19:R19"/>
    <mergeCell ref="C24:F24"/>
    <mergeCell ref="A21:B21"/>
    <mergeCell ref="K21:N21"/>
    <mergeCell ref="K23:N23"/>
    <mergeCell ref="A24:B24"/>
    <mergeCell ref="C23:F23"/>
    <mergeCell ref="B2:P2"/>
    <mergeCell ref="G19:I19"/>
    <mergeCell ref="O19:P19"/>
    <mergeCell ref="J19:N19"/>
  </mergeCells>
  <hyperlinks>
    <hyperlink ref="A1" location="'Listado Objetos de Dominio'!A1" display="&lt;-Volver al inicio" xr:uid="{00000000-0004-0000-0900-000000000000}"/>
    <hyperlink ref="Q4" location="'Objeto Dominio N'!A16" display="'Objeto Dominio N'!A16" xr:uid="{00000000-0004-0000-0900-000001000000}"/>
    <hyperlink ref="R4" location="'Objeto Dominio 1'!A17" display="'Objeto Dominio 1'!A17" xr:uid="{00000000-0004-0000-0900-000002000000}"/>
    <hyperlink ref="S4" location="'Objeto Dominio 1'!A18" display="'Objeto Dominio 1'!A18" xr:uid="{00000000-0004-0000-0900-000003000000}"/>
    <hyperlink ref="T4" location="'Objeto Dominio 1'!A19" display="'Objeto Dominio 1'!A19" xr:uid="{00000000-0004-0000-0900-000004000000}"/>
    <hyperlink ref="A21" location="'Objeto Dominio N'!R4" display="Reponsabilidad 2" xr:uid="{00000000-0004-0000-0900-000005000000}"/>
    <hyperlink ref="A22" location="'Objeto Dominio N'!R4" display="Reponsabilidad 2" xr:uid="{00000000-0004-0000-0900-000006000000}"/>
    <hyperlink ref="A23" location="'Objeto Dominio N'!R4" display="Reponsabilidad 2" xr:uid="{00000000-0004-0000-0900-000007000000}"/>
    <hyperlink ref="A24" location="'Objeto Dominio N'!R4" display="Reponsabilidad 2" xr:uid="{00000000-0004-0000-0900-000008000000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21"/>
  <sheetViews>
    <sheetView topLeftCell="A10" zoomScaleNormal="100" workbookViewId="0">
      <selection activeCell="F14" sqref="F14"/>
    </sheetView>
  </sheetViews>
  <sheetFormatPr baseColWidth="10" defaultColWidth="11.3984375" defaultRowHeight="14.25" x14ac:dyDescent="0.45"/>
  <cols>
    <col min="1" max="1" width="23.86328125" style="1" bestFit="1" customWidth="1"/>
    <col min="2" max="2" width="18.59765625" style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5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5" x14ac:dyDescent="0.45">
      <c r="A2" s="4" t="s">
        <v>37</v>
      </c>
      <c r="B2" s="143" t="str">
        <f>'Listado Objetos de Dominio'!$A$10</f>
        <v>Producto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5" x14ac:dyDescent="0.45">
      <c r="A3" s="4" t="s">
        <v>38</v>
      </c>
      <c r="B3" s="160" t="str">
        <f>'Listado Objetos de Dominio'!$B$10</f>
        <v>Indica el producto que se crea en la solicitud de cotización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5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>
        <f>A18</f>
        <v>0</v>
      </c>
      <c r="R4" s="35">
        <f>A19</f>
        <v>0</v>
      </c>
      <c r="S4" s="36">
        <f>A20</f>
        <v>0</v>
      </c>
      <c r="T4" s="2">
        <f>A21</f>
        <v>0</v>
      </c>
    </row>
    <row r="5" spans="1:25" x14ac:dyDescent="0.45">
      <c r="A5" s="11" t="s">
        <v>82</v>
      </c>
      <c r="B5" s="5" t="s">
        <v>83</v>
      </c>
      <c r="C5" s="176">
        <v>36</v>
      </c>
      <c r="D5" s="176">
        <v>36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296</v>
      </c>
      <c r="Q5" s="34"/>
      <c r="R5" s="23"/>
      <c r="S5" s="28"/>
      <c r="T5" s="31"/>
    </row>
    <row r="6" spans="1:25" x14ac:dyDescent="0.45">
      <c r="A6" s="69" t="s">
        <v>94</v>
      </c>
      <c r="B6" s="70" t="s">
        <v>90</v>
      </c>
      <c r="C6" s="177">
        <v>1</v>
      </c>
      <c r="D6" s="177">
        <v>150</v>
      </c>
      <c r="E6" s="70" t="s">
        <v>85</v>
      </c>
      <c r="F6" s="70" t="s">
        <v>85</v>
      </c>
      <c r="G6" s="70" t="s">
        <v>85</v>
      </c>
      <c r="H6" s="70" t="s">
        <v>61</v>
      </c>
      <c r="I6" s="70" t="s">
        <v>85</v>
      </c>
      <c r="J6" s="71"/>
      <c r="K6" s="70" t="s">
        <v>59</v>
      </c>
      <c r="L6" s="70" t="s">
        <v>59</v>
      </c>
      <c r="M6" s="70" t="s">
        <v>58</v>
      </c>
      <c r="N6" s="70" t="s">
        <v>59</v>
      </c>
      <c r="O6" s="70" t="s">
        <v>59</v>
      </c>
      <c r="P6" s="72" t="s">
        <v>297</v>
      </c>
      <c r="Q6" s="34"/>
      <c r="R6" s="23"/>
      <c r="S6" s="28"/>
      <c r="T6" s="31"/>
    </row>
    <row r="7" spans="1:25" x14ac:dyDescent="0.45">
      <c r="A7" s="69" t="s">
        <v>444</v>
      </c>
      <c r="B7" s="70" t="s">
        <v>298</v>
      </c>
      <c r="C7" s="70" t="s">
        <v>85</v>
      </c>
      <c r="D7" s="70" t="s">
        <v>85</v>
      </c>
      <c r="E7" s="70" t="s">
        <v>85</v>
      </c>
      <c r="F7" s="177">
        <v>1</v>
      </c>
      <c r="G7" s="70" t="s">
        <v>85</v>
      </c>
      <c r="H7" s="70" t="s">
        <v>299</v>
      </c>
      <c r="I7" s="70" t="s">
        <v>85</v>
      </c>
      <c r="J7" s="71"/>
      <c r="K7" s="70" t="s">
        <v>59</v>
      </c>
      <c r="L7" s="70" t="s">
        <v>59</v>
      </c>
      <c r="M7" s="70" t="s">
        <v>58</v>
      </c>
      <c r="N7" s="70" t="s">
        <v>59</v>
      </c>
      <c r="O7" s="70" t="s">
        <v>59</v>
      </c>
      <c r="P7" s="72" t="s">
        <v>300</v>
      </c>
      <c r="Q7" s="73"/>
      <c r="R7" s="74"/>
      <c r="S7" s="75"/>
      <c r="T7" s="76"/>
    </row>
    <row r="8" spans="1:25" x14ac:dyDescent="0.45">
      <c r="A8" s="90" t="s">
        <v>445</v>
      </c>
      <c r="B8" s="99" t="s">
        <v>90</v>
      </c>
      <c r="C8" s="90" t="s">
        <v>85</v>
      </c>
      <c r="D8" s="90" t="s">
        <v>85</v>
      </c>
      <c r="E8" s="90" t="s">
        <v>85</v>
      </c>
      <c r="F8" s="90" t="s">
        <v>61</v>
      </c>
      <c r="G8" s="90" t="s">
        <v>85</v>
      </c>
      <c r="H8" s="90" t="s">
        <v>85</v>
      </c>
      <c r="I8" s="90" t="s">
        <v>85</v>
      </c>
      <c r="J8" s="91" t="s">
        <v>301</v>
      </c>
      <c r="K8" s="90" t="s">
        <v>59</v>
      </c>
      <c r="L8" s="90" t="s">
        <v>59</v>
      </c>
      <c r="M8" s="90" t="s">
        <v>58</v>
      </c>
      <c r="N8" s="90" t="s">
        <v>59</v>
      </c>
      <c r="O8" s="90" t="s">
        <v>59</v>
      </c>
      <c r="P8" s="92" t="s">
        <v>302</v>
      </c>
      <c r="Q8" s="93"/>
      <c r="R8" s="94"/>
      <c r="S8" s="95"/>
      <c r="T8" s="96"/>
    </row>
    <row r="9" spans="1:25" x14ac:dyDescent="0.45">
      <c r="A9" s="63" t="s">
        <v>428</v>
      </c>
      <c r="B9" s="63" t="s">
        <v>90</v>
      </c>
      <c r="C9" s="178">
        <v>0</v>
      </c>
      <c r="D9" s="178">
        <v>500</v>
      </c>
      <c r="E9" s="63" t="s">
        <v>85</v>
      </c>
      <c r="F9" s="63" t="s">
        <v>85</v>
      </c>
      <c r="G9" s="63" t="s">
        <v>85</v>
      </c>
      <c r="H9" s="63" t="s">
        <v>61</v>
      </c>
      <c r="I9" s="63" t="s">
        <v>85</v>
      </c>
      <c r="J9" s="77"/>
      <c r="K9" s="63" t="s">
        <v>59</v>
      </c>
      <c r="L9" s="63" t="s">
        <v>59</v>
      </c>
      <c r="M9" s="63" t="s">
        <v>59</v>
      </c>
      <c r="N9" s="63" t="s">
        <v>59</v>
      </c>
      <c r="O9" s="63" t="s">
        <v>59</v>
      </c>
      <c r="P9" s="64" t="s">
        <v>304</v>
      </c>
      <c r="Q9" s="65"/>
      <c r="R9" s="66"/>
      <c r="S9" s="67"/>
      <c r="T9" s="68"/>
      <c r="U9" s="110"/>
      <c r="V9" s="110"/>
      <c r="W9" s="110"/>
      <c r="X9" s="110"/>
      <c r="Y9" s="110"/>
    </row>
    <row r="10" spans="1:25" ht="27" customHeight="1" x14ac:dyDescent="0.45">
      <c r="A10" s="90" t="s">
        <v>446</v>
      </c>
      <c r="B10" s="90" t="s">
        <v>446</v>
      </c>
      <c r="C10" s="90" t="s">
        <v>85</v>
      </c>
      <c r="D10" s="90" t="s">
        <v>85</v>
      </c>
      <c r="E10" s="90" t="s">
        <v>85</v>
      </c>
      <c r="F10" s="90" t="s">
        <v>85</v>
      </c>
      <c r="G10" s="90" t="s">
        <v>85</v>
      </c>
      <c r="H10" s="90" t="s">
        <v>86</v>
      </c>
      <c r="I10" s="90" t="s">
        <v>85</v>
      </c>
      <c r="J10" s="91" t="s">
        <v>305</v>
      </c>
      <c r="K10" s="90" t="s">
        <v>59</v>
      </c>
      <c r="L10" s="90" t="s">
        <v>59</v>
      </c>
      <c r="M10" s="90" t="s">
        <v>58</v>
      </c>
      <c r="N10" s="90" t="s">
        <v>59</v>
      </c>
      <c r="O10" s="90" t="s">
        <v>59</v>
      </c>
      <c r="P10" s="92" t="s">
        <v>306</v>
      </c>
      <c r="Q10" s="65"/>
      <c r="R10" s="66"/>
      <c r="S10" s="67"/>
      <c r="T10" s="68"/>
      <c r="U10" s="110"/>
      <c r="V10" s="110"/>
      <c r="W10" s="110"/>
      <c r="X10" s="110"/>
      <c r="Y10" s="110"/>
    </row>
    <row r="11" spans="1:25" x14ac:dyDescent="0.45">
      <c r="A11" s="183" t="s">
        <v>441</v>
      </c>
      <c r="B11" s="183" t="s">
        <v>419</v>
      </c>
      <c r="C11" s="183" t="s">
        <v>85</v>
      </c>
      <c r="D11" s="183" t="s">
        <v>85</v>
      </c>
      <c r="E11" s="183" t="s">
        <v>85</v>
      </c>
      <c r="F11" s="183" t="s">
        <v>85</v>
      </c>
      <c r="G11" s="183" t="s">
        <v>85</v>
      </c>
      <c r="H11" s="183" t="s">
        <v>120</v>
      </c>
      <c r="I11" s="193" t="s">
        <v>224</v>
      </c>
      <c r="J11" s="184"/>
      <c r="K11" s="183" t="s">
        <v>58</v>
      </c>
      <c r="L11" s="183" t="s">
        <v>59</v>
      </c>
      <c r="M11" s="183" t="s">
        <v>58</v>
      </c>
      <c r="N11" s="183" t="s">
        <v>59</v>
      </c>
      <c r="O11" s="183" t="s">
        <v>59</v>
      </c>
      <c r="P11" s="183" t="s">
        <v>307</v>
      </c>
    </row>
    <row r="12" spans="1:25" x14ac:dyDescent="0.45">
      <c r="A12" s="181"/>
      <c r="B12" s="138"/>
      <c r="C12" s="139"/>
    </row>
    <row r="13" spans="1:25" x14ac:dyDescent="0.45">
      <c r="A13" s="17"/>
      <c r="B13" s="16"/>
      <c r="C13" s="18"/>
    </row>
    <row r="14" spans="1:25" ht="39" customHeight="1" x14ac:dyDescent="0.45">
      <c r="A14" s="14"/>
      <c r="B14" s="15"/>
      <c r="C14" s="38"/>
      <c r="F14" s="89"/>
    </row>
    <row r="16" spans="1:25" x14ac:dyDescent="0.45">
      <c r="A16" s="145"/>
      <c r="B16" s="136"/>
      <c r="C16" s="134"/>
      <c r="D16" s="135"/>
      <c r="E16" s="135"/>
      <c r="F16" s="136"/>
      <c r="G16" s="134"/>
      <c r="H16" s="131"/>
      <c r="I16" s="132"/>
      <c r="J16" s="134"/>
      <c r="K16" s="131"/>
      <c r="L16" s="131"/>
      <c r="M16" s="131"/>
      <c r="N16" s="132"/>
      <c r="O16" s="134"/>
      <c r="P16" s="132"/>
      <c r="Q16" s="134" t="s">
        <v>71</v>
      </c>
      <c r="R16" s="132"/>
    </row>
    <row r="17" spans="1:18" x14ac:dyDescent="0.45">
      <c r="A17" s="146"/>
      <c r="B17" s="139"/>
      <c r="C17" s="137"/>
      <c r="D17" s="138"/>
      <c r="E17" s="138"/>
      <c r="F17" s="139"/>
      <c r="G17" s="19"/>
      <c r="H17" s="19"/>
      <c r="I17" s="19"/>
      <c r="J17" s="19"/>
      <c r="K17" s="154"/>
      <c r="L17" s="141"/>
      <c r="M17" s="141"/>
      <c r="N17" s="142"/>
      <c r="O17" s="19"/>
      <c r="P17" s="19"/>
      <c r="Q17" s="19" t="s">
        <v>75</v>
      </c>
      <c r="R17" s="25" t="s">
        <v>76</v>
      </c>
    </row>
    <row r="18" spans="1:18" ht="47.25" customHeight="1" x14ac:dyDescent="0.45">
      <c r="A18" s="158"/>
      <c r="B18" s="142"/>
      <c r="C18" s="140"/>
      <c r="D18" s="141"/>
      <c r="E18" s="141"/>
      <c r="F18" s="142"/>
      <c r="G18" s="46"/>
      <c r="H18" s="44"/>
      <c r="I18" s="45"/>
      <c r="J18" s="39"/>
      <c r="K18" s="144"/>
      <c r="L18" s="141"/>
      <c r="M18" s="141"/>
      <c r="N18" s="142"/>
      <c r="O18" s="23"/>
      <c r="P18" s="24"/>
      <c r="Q18" s="24"/>
      <c r="R18" s="27"/>
    </row>
    <row r="19" spans="1:18" ht="27.75" customHeight="1" x14ac:dyDescent="0.45">
      <c r="A19" s="158"/>
      <c r="B19" s="142"/>
      <c r="C19" s="140"/>
      <c r="D19" s="141"/>
      <c r="E19" s="141"/>
      <c r="F19" s="142"/>
      <c r="G19" s="46"/>
      <c r="H19" s="44"/>
      <c r="I19" s="45"/>
      <c r="J19" s="39"/>
      <c r="K19" s="144"/>
      <c r="L19" s="141"/>
      <c r="M19" s="141"/>
      <c r="N19" s="142"/>
      <c r="O19" s="23"/>
      <c r="P19" s="24"/>
      <c r="Q19" s="24"/>
      <c r="R19" s="27"/>
    </row>
    <row r="20" spans="1:18" ht="27.75" customHeight="1" x14ac:dyDescent="0.45">
      <c r="A20" s="158"/>
      <c r="B20" s="142"/>
      <c r="C20" s="140"/>
      <c r="D20" s="141"/>
      <c r="E20" s="141"/>
      <c r="F20" s="142"/>
      <c r="G20" s="46"/>
      <c r="H20" s="44"/>
      <c r="I20" s="45"/>
      <c r="J20" s="39"/>
      <c r="K20" s="144"/>
      <c r="L20" s="141"/>
      <c r="M20" s="141"/>
      <c r="N20" s="142"/>
      <c r="O20" s="23"/>
      <c r="P20" s="24"/>
      <c r="Q20" s="24"/>
      <c r="R20" s="27"/>
    </row>
    <row r="21" spans="1:18" ht="34.5" customHeight="1" x14ac:dyDescent="0.45">
      <c r="A21" s="158"/>
      <c r="B21" s="142"/>
      <c r="C21" s="140"/>
      <c r="D21" s="141"/>
      <c r="E21" s="141"/>
      <c r="F21" s="142"/>
      <c r="G21" s="46"/>
      <c r="H21" s="44"/>
      <c r="I21" s="45"/>
      <c r="J21" s="39"/>
      <c r="K21" s="144"/>
      <c r="L21" s="141"/>
      <c r="M21" s="141"/>
      <c r="N21" s="142"/>
      <c r="O21" s="23"/>
      <c r="P21" s="24"/>
      <c r="Q21" s="24"/>
      <c r="R21" s="27"/>
    </row>
  </sheetData>
  <mergeCells count="23">
    <mergeCell ref="A21:B21"/>
    <mergeCell ref="O16:P16"/>
    <mergeCell ref="K21:N21"/>
    <mergeCell ref="A1:P1"/>
    <mergeCell ref="C20:F20"/>
    <mergeCell ref="J16:N16"/>
    <mergeCell ref="K20:N20"/>
    <mergeCell ref="A20:B20"/>
    <mergeCell ref="A16:B17"/>
    <mergeCell ref="A19:B19"/>
    <mergeCell ref="B3:P3"/>
    <mergeCell ref="C21:F21"/>
    <mergeCell ref="C19:F19"/>
    <mergeCell ref="K19:N19"/>
    <mergeCell ref="C18:F18"/>
    <mergeCell ref="K18:N18"/>
    <mergeCell ref="A18:B18"/>
    <mergeCell ref="Q16:R16"/>
    <mergeCell ref="B2:P2"/>
    <mergeCell ref="K17:N17"/>
    <mergeCell ref="C16:F17"/>
    <mergeCell ref="A12:C12"/>
    <mergeCell ref="G16:I16"/>
  </mergeCells>
  <hyperlinks>
    <hyperlink ref="A1" location="'Listado Objetos de Dominio'!A1" display="&lt;-Volver al inicio" xr:uid="{00000000-0004-0000-0A00-000000000000}"/>
    <hyperlink ref="Q4" location="'Objeto Dominio N'!A16" display="'Objeto Dominio N'!A16" xr:uid="{00000000-0004-0000-0A00-000001000000}"/>
    <hyperlink ref="R4" location="'Objeto Dominio 1'!A17" display="'Objeto Dominio 1'!A17" xr:uid="{00000000-0004-0000-0A00-000002000000}"/>
    <hyperlink ref="S4" location="'Objeto Dominio 1'!A18" display="'Objeto Dominio 1'!A18" xr:uid="{00000000-0004-0000-0A00-000003000000}"/>
    <hyperlink ref="T4" location="'Objeto Dominio 1'!A19" display="'Objeto Dominio 1'!A19" xr:uid="{00000000-0004-0000-0A00-000004000000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5"/>
  <sheetViews>
    <sheetView topLeftCell="A15" zoomScaleNormal="100" workbookViewId="0">
      <selection activeCell="G24" sqref="G24"/>
    </sheetView>
  </sheetViews>
  <sheetFormatPr baseColWidth="10" defaultColWidth="11.3984375" defaultRowHeight="14.25" x14ac:dyDescent="0.45"/>
  <cols>
    <col min="1" max="1" width="23.86328125" style="1" bestFit="1" customWidth="1"/>
    <col min="2" max="2" width="18.59765625" style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Dominio'!$A$11</f>
        <v>Cotización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x14ac:dyDescent="0.45">
      <c r="A3" s="4" t="s">
        <v>38</v>
      </c>
      <c r="B3" s="160" t="str">
        <f>'Listado Objetos de Dominio'!$B$11</f>
        <v>Se refiere a la respuesta que da el proveedor a la solicitud de cotización del cliente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str">
        <f>A21</f>
        <v>crear cotizacion</v>
      </c>
      <c r="R4" s="35" t="str">
        <f>A22</f>
        <v>consultar</v>
      </c>
      <c r="S4" s="36" t="e">
        <f>#REF!</f>
        <v>#REF!</v>
      </c>
      <c r="T4" s="2" t="e">
        <f>#REF!</f>
        <v>#REF!</v>
      </c>
    </row>
    <row r="5" spans="1:20" x14ac:dyDescent="0.45">
      <c r="A5" s="11" t="s">
        <v>82</v>
      </c>
      <c r="B5" s="5" t="s">
        <v>83</v>
      </c>
      <c r="C5" s="176">
        <v>36</v>
      </c>
      <c r="D5" s="176">
        <v>36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308</v>
      </c>
      <c r="Q5" s="34"/>
      <c r="R5" s="23"/>
      <c r="S5" s="28"/>
      <c r="T5" s="31"/>
    </row>
    <row r="6" spans="1:20" x14ac:dyDescent="0.45">
      <c r="A6" s="69" t="s">
        <v>447</v>
      </c>
      <c r="B6" s="70" t="s">
        <v>119</v>
      </c>
      <c r="C6" s="70" t="s">
        <v>85</v>
      </c>
      <c r="D6" s="70" t="s">
        <v>85</v>
      </c>
      <c r="E6" s="70" t="s">
        <v>85</v>
      </c>
      <c r="F6" s="70" t="s">
        <v>85</v>
      </c>
      <c r="G6" s="70" t="s">
        <v>85</v>
      </c>
      <c r="H6" s="70" t="s">
        <v>120</v>
      </c>
      <c r="I6" s="70" t="s">
        <v>224</v>
      </c>
      <c r="J6" s="71" t="s">
        <v>309</v>
      </c>
      <c r="K6" s="70" t="s">
        <v>58</v>
      </c>
      <c r="L6" s="70" t="s">
        <v>59</v>
      </c>
      <c r="M6" s="70" t="s">
        <v>58</v>
      </c>
      <c r="N6" s="70" t="s">
        <v>59</v>
      </c>
      <c r="O6" s="70" t="s">
        <v>59</v>
      </c>
      <c r="P6" s="72" t="s">
        <v>310</v>
      </c>
      <c r="Q6" s="73"/>
      <c r="R6" s="74"/>
      <c r="S6" s="75"/>
      <c r="T6" s="76"/>
    </row>
    <row r="7" spans="1:20" x14ac:dyDescent="0.45">
      <c r="A7" s="69" t="s">
        <v>448</v>
      </c>
      <c r="B7" s="99" t="s">
        <v>119</v>
      </c>
      <c r="C7" s="90" t="s">
        <v>85</v>
      </c>
      <c r="D7" s="90" t="s">
        <v>85</v>
      </c>
      <c r="E7" s="90" t="s">
        <v>85</v>
      </c>
      <c r="F7" s="90" t="s">
        <v>85</v>
      </c>
      <c r="G7" s="90" t="s">
        <v>85</v>
      </c>
      <c r="H7" s="90" t="s">
        <v>120</v>
      </c>
      <c r="I7" s="90" t="s">
        <v>85</v>
      </c>
      <c r="J7" s="91" t="s">
        <v>311</v>
      </c>
      <c r="K7" s="90" t="s">
        <v>59</v>
      </c>
      <c r="L7" s="90" t="s">
        <v>59</v>
      </c>
      <c r="M7" s="90" t="s">
        <v>58</v>
      </c>
      <c r="N7" s="90" t="s">
        <v>59</v>
      </c>
      <c r="O7" s="90" t="s">
        <v>59</v>
      </c>
      <c r="P7" s="92" t="s">
        <v>312</v>
      </c>
      <c r="Q7" s="93"/>
      <c r="R7" s="94"/>
      <c r="S7" s="95"/>
      <c r="T7" s="96"/>
    </row>
    <row r="8" spans="1:20" x14ac:dyDescent="0.45">
      <c r="A8" s="63" t="s">
        <v>449</v>
      </c>
      <c r="B8" s="99" t="s">
        <v>298</v>
      </c>
      <c r="C8" s="90" t="s">
        <v>85</v>
      </c>
      <c r="D8" s="90" t="s">
        <v>85</v>
      </c>
      <c r="E8" s="179">
        <v>2</v>
      </c>
      <c r="F8" s="179">
        <v>0</v>
      </c>
      <c r="G8" s="90" t="s">
        <v>85</v>
      </c>
      <c r="H8" s="90" t="s">
        <v>314</v>
      </c>
      <c r="I8" s="90" t="s">
        <v>85</v>
      </c>
      <c r="J8" s="91" t="s">
        <v>315</v>
      </c>
      <c r="K8" s="90" t="s">
        <v>59</v>
      </c>
      <c r="L8" s="90" t="s">
        <v>59</v>
      </c>
      <c r="M8" s="90" t="s">
        <v>58</v>
      </c>
      <c r="N8" s="90" t="s">
        <v>59</v>
      </c>
      <c r="O8" s="90" t="s">
        <v>59</v>
      </c>
      <c r="P8" s="92" t="s">
        <v>316</v>
      </c>
      <c r="Q8" s="93"/>
      <c r="R8" s="94"/>
      <c r="S8" s="95"/>
      <c r="T8" s="96"/>
    </row>
    <row r="9" spans="1:20" x14ac:dyDescent="0.45">
      <c r="A9" s="90" t="s">
        <v>450</v>
      </c>
      <c r="B9" s="99" t="s">
        <v>317</v>
      </c>
      <c r="C9" s="90" t="s">
        <v>85</v>
      </c>
      <c r="D9" s="90" t="s">
        <v>85</v>
      </c>
      <c r="E9" s="90" t="s">
        <v>85</v>
      </c>
      <c r="F9" s="90" t="s">
        <v>85</v>
      </c>
      <c r="G9" s="90" t="s">
        <v>85</v>
      </c>
      <c r="H9" s="90" t="s">
        <v>120</v>
      </c>
      <c r="I9" s="100" t="s">
        <v>85</v>
      </c>
      <c r="J9" s="91" t="s">
        <v>318</v>
      </c>
      <c r="K9" s="99" t="s">
        <v>59</v>
      </c>
      <c r="L9" s="90" t="s">
        <v>59</v>
      </c>
      <c r="M9" s="90" t="s">
        <v>58</v>
      </c>
      <c r="N9" s="90" t="s">
        <v>59</v>
      </c>
      <c r="O9" s="90" t="s">
        <v>59</v>
      </c>
      <c r="P9" s="92" t="s">
        <v>319</v>
      </c>
      <c r="Q9" s="93"/>
      <c r="R9" s="94"/>
      <c r="S9" s="95"/>
      <c r="T9" s="96"/>
    </row>
    <row r="10" spans="1:20" ht="27" customHeight="1" x14ac:dyDescent="0.45">
      <c r="A10" s="90" t="s">
        <v>428</v>
      </c>
      <c r="B10" s="90" t="s">
        <v>90</v>
      </c>
      <c r="C10" s="179">
        <v>1</v>
      </c>
      <c r="D10" s="179">
        <v>1000</v>
      </c>
      <c r="E10" s="90" t="s">
        <v>85</v>
      </c>
      <c r="F10" s="90" t="s">
        <v>85</v>
      </c>
      <c r="G10" s="90" t="s">
        <v>85</v>
      </c>
      <c r="H10" s="90" t="s">
        <v>61</v>
      </c>
      <c r="I10" s="100" t="s">
        <v>85</v>
      </c>
      <c r="J10" s="91" t="s">
        <v>320</v>
      </c>
      <c r="K10" s="99" t="s">
        <v>59</v>
      </c>
      <c r="L10" s="90" t="s">
        <v>59</v>
      </c>
      <c r="M10" s="90" t="s">
        <v>58</v>
      </c>
      <c r="N10" s="90" t="s">
        <v>59</v>
      </c>
      <c r="O10" s="90" t="s">
        <v>59</v>
      </c>
      <c r="P10" s="92" t="s">
        <v>321</v>
      </c>
      <c r="Q10" s="65"/>
      <c r="R10" s="66"/>
      <c r="S10" s="67"/>
      <c r="T10" s="68"/>
    </row>
    <row r="11" spans="1:20" ht="27" customHeight="1" x14ac:dyDescent="0.45">
      <c r="A11" s="5" t="s">
        <v>429</v>
      </c>
      <c r="B11" s="5" t="s">
        <v>110</v>
      </c>
      <c r="C11" s="5" t="s">
        <v>85</v>
      </c>
      <c r="D11" s="5" t="s">
        <v>85</v>
      </c>
      <c r="E11" s="5" t="s">
        <v>85</v>
      </c>
      <c r="F11" s="5" t="s">
        <v>85</v>
      </c>
      <c r="G11" s="5" t="s">
        <v>85</v>
      </c>
      <c r="H11" s="5" t="s">
        <v>322</v>
      </c>
      <c r="I11" s="5" t="s">
        <v>323</v>
      </c>
      <c r="J11" s="13" t="s">
        <v>324</v>
      </c>
      <c r="K11" s="5" t="s">
        <v>59</v>
      </c>
      <c r="L11" s="5" t="s">
        <v>59</v>
      </c>
      <c r="M11" s="5" t="s">
        <v>58</v>
      </c>
      <c r="N11" s="5" t="s">
        <v>59</v>
      </c>
      <c r="O11" s="5" t="s">
        <v>59</v>
      </c>
      <c r="P11" s="7" t="s">
        <v>223</v>
      </c>
      <c r="Q11" s="105"/>
      <c r="R11" s="106"/>
      <c r="S11" s="107"/>
      <c r="T11" s="108"/>
    </row>
    <row r="12" spans="1:20" x14ac:dyDescent="0.45">
      <c r="A12" s="5" t="s">
        <v>451</v>
      </c>
      <c r="B12" s="5" t="s">
        <v>325</v>
      </c>
      <c r="C12" s="5" t="s">
        <v>85</v>
      </c>
      <c r="D12" s="5" t="s">
        <v>85</v>
      </c>
      <c r="E12" s="5" t="s">
        <v>85</v>
      </c>
      <c r="F12" s="5" t="s">
        <v>85</v>
      </c>
      <c r="G12" s="5" t="s">
        <v>85</v>
      </c>
      <c r="H12" s="5" t="s">
        <v>326</v>
      </c>
      <c r="I12" s="5" t="s">
        <v>85</v>
      </c>
      <c r="J12" s="13" t="s">
        <v>327</v>
      </c>
      <c r="K12" s="5" t="s">
        <v>59</v>
      </c>
      <c r="L12" s="5" t="s">
        <v>58</v>
      </c>
      <c r="M12" s="5" t="s">
        <v>59</v>
      </c>
      <c r="N12" s="5" t="s">
        <v>59</v>
      </c>
      <c r="O12" s="5" t="s">
        <v>59</v>
      </c>
      <c r="P12" s="7" t="s">
        <v>328</v>
      </c>
      <c r="Q12" s="105"/>
      <c r="R12" s="106"/>
      <c r="S12" s="107"/>
      <c r="T12" s="108"/>
    </row>
    <row r="13" spans="1:20" ht="26.25" x14ac:dyDescent="0.45">
      <c r="A13" s="5" t="s">
        <v>446</v>
      </c>
      <c r="B13" s="5" t="s">
        <v>446</v>
      </c>
      <c r="C13" s="5" t="s">
        <v>85</v>
      </c>
      <c r="D13" s="5" t="s">
        <v>85</v>
      </c>
      <c r="E13" s="5" t="s">
        <v>85</v>
      </c>
      <c r="F13" s="5" t="s">
        <v>85</v>
      </c>
      <c r="G13" s="5" t="s">
        <v>85</v>
      </c>
      <c r="H13" s="5" t="s">
        <v>86</v>
      </c>
      <c r="I13" s="5" t="s">
        <v>85</v>
      </c>
      <c r="J13" s="13" t="s">
        <v>452</v>
      </c>
      <c r="K13" s="5" t="s">
        <v>59</v>
      </c>
      <c r="L13" s="5" t="s">
        <v>59</v>
      </c>
      <c r="M13" s="5" t="s">
        <v>58</v>
      </c>
      <c r="N13" s="5" t="s">
        <v>59</v>
      </c>
      <c r="O13" s="5" t="s">
        <v>59</v>
      </c>
      <c r="P13" s="7" t="s">
        <v>329</v>
      </c>
      <c r="Q13" s="105"/>
      <c r="R13" s="106"/>
      <c r="S13" s="107"/>
      <c r="T13" s="108"/>
    </row>
    <row r="14" spans="1:20" x14ac:dyDescent="0.45">
      <c r="A14" s="183" t="s">
        <v>422</v>
      </c>
      <c r="B14" s="183" t="s">
        <v>422</v>
      </c>
      <c r="C14" s="183" t="s">
        <v>85</v>
      </c>
      <c r="D14" s="183" t="s">
        <v>85</v>
      </c>
      <c r="E14" s="183" t="s">
        <v>85</v>
      </c>
      <c r="F14" s="183" t="s">
        <v>85</v>
      </c>
      <c r="G14" s="183" t="s">
        <v>85</v>
      </c>
      <c r="H14" s="183" t="s">
        <v>86</v>
      </c>
      <c r="I14" s="193" t="s">
        <v>85</v>
      </c>
      <c r="J14" s="183" t="s">
        <v>434</v>
      </c>
      <c r="K14" s="183" t="s">
        <v>59</v>
      </c>
      <c r="L14" s="183" t="s">
        <v>59</v>
      </c>
      <c r="M14" s="183" t="s">
        <v>58</v>
      </c>
      <c r="N14" s="183" t="s">
        <v>59</v>
      </c>
      <c r="O14" s="183" t="s">
        <v>59</v>
      </c>
      <c r="P14" s="183" t="s">
        <v>453</v>
      </c>
    </row>
    <row r="15" spans="1:20" x14ac:dyDescent="0.45">
      <c r="A15" s="181"/>
      <c r="B15" s="138"/>
      <c r="C15" s="139"/>
    </row>
    <row r="16" spans="1:20" x14ac:dyDescent="0.45">
      <c r="A16" s="17"/>
      <c r="B16" s="16"/>
      <c r="C16" s="18"/>
      <c r="E16" s="89"/>
    </row>
    <row r="17" spans="1:18" ht="39" customHeight="1" x14ac:dyDescent="0.45">
      <c r="A17" s="14"/>
      <c r="B17" s="15"/>
      <c r="C17" s="38"/>
      <c r="F17" s="89"/>
    </row>
    <row r="19" spans="1:18" x14ac:dyDescent="0.45">
      <c r="A19" s="145" t="s">
        <v>67</v>
      </c>
      <c r="B19" s="136"/>
      <c r="C19" s="134" t="s">
        <v>3</v>
      </c>
      <c r="D19" s="135"/>
      <c r="E19" s="135"/>
      <c r="F19" s="136"/>
      <c r="G19" s="134" t="s">
        <v>68</v>
      </c>
      <c r="H19" s="131"/>
      <c r="I19" s="132"/>
      <c r="J19" s="134" t="s">
        <v>69</v>
      </c>
      <c r="K19" s="131"/>
      <c r="L19" s="131"/>
      <c r="M19" s="131"/>
      <c r="N19" s="132"/>
      <c r="O19" s="134" t="s">
        <v>70</v>
      </c>
      <c r="P19" s="132"/>
      <c r="Q19" s="134" t="s">
        <v>71</v>
      </c>
      <c r="R19" s="132"/>
    </row>
    <row r="20" spans="1:18" x14ac:dyDescent="0.45">
      <c r="A20" s="146"/>
      <c r="B20" s="139"/>
      <c r="C20" s="137"/>
      <c r="D20" s="138"/>
      <c r="E20" s="138"/>
      <c r="F20" s="139"/>
      <c r="G20" s="19" t="s">
        <v>72</v>
      </c>
      <c r="H20" s="19" t="s">
        <v>73</v>
      </c>
      <c r="I20" s="19" t="s">
        <v>3</v>
      </c>
      <c r="J20" s="19" t="s">
        <v>40</v>
      </c>
      <c r="K20" s="154" t="s">
        <v>3</v>
      </c>
      <c r="L20" s="141"/>
      <c r="M20" s="141"/>
      <c r="N20" s="142"/>
      <c r="O20" s="19" t="s">
        <v>74</v>
      </c>
      <c r="P20" s="19" t="s">
        <v>3</v>
      </c>
      <c r="Q20" s="19" t="s">
        <v>75</v>
      </c>
      <c r="R20" s="25" t="s">
        <v>76</v>
      </c>
    </row>
    <row r="21" spans="1:18" ht="47.25" customHeight="1" x14ac:dyDescent="0.45">
      <c r="A21" s="158" t="s">
        <v>454</v>
      </c>
      <c r="B21" s="142"/>
      <c r="C21" s="140" t="s">
        <v>330</v>
      </c>
      <c r="D21" s="141"/>
      <c r="E21" s="141"/>
      <c r="F21" s="142"/>
      <c r="G21" s="46" t="s">
        <v>331</v>
      </c>
      <c r="H21" s="44"/>
      <c r="I21" s="45"/>
      <c r="J21" s="39" t="s">
        <v>126</v>
      </c>
      <c r="K21" s="144" t="s">
        <v>332</v>
      </c>
      <c r="L21" s="141"/>
      <c r="M21" s="141"/>
      <c r="N21" s="142"/>
      <c r="O21" s="23" t="s">
        <v>333</v>
      </c>
      <c r="P21" s="24"/>
      <c r="Q21" s="24" t="s">
        <v>334</v>
      </c>
      <c r="R21" s="27"/>
    </row>
    <row r="22" spans="1:18" ht="27.75" customHeight="1" x14ac:dyDescent="0.45">
      <c r="A22" s="158" t="s">
        <v>436</v>
      </c>
      <c r="B22" s="142"/>
      <c r="C22" s="140" t="s">
        <v>335</v>
      </c>
      <c r="D22" s="141"/>
      <c r="E22" s="141"/>
      <c r="F22" s="142"/>
      <c r="G22" s="46" t="s">
        <v>336</v>
      </c>
      <c r="H22" s="44"/>
      <c r="I22" s="45"/>
      <c r="J22" s="39" t="s">
        <v>126</v>
      </c>
      <c r="K22" s="144" t="s">
        <v>337</v>
      </c>
      <c r="L22" s="141"/>
      <c r="M22" s="141"/>
      <c r="N22" s="142"/>
      <c r="O22" s="23" t="s">
        <v>338</v>
      </c>
      <c r="P22" s="24"/>
      <c r="Q22" s="24" t="s">
        <v>141</v>
      </c>
      <c r="R22" s="27"/>
    </row>
    <row r="23" spans="1:18" x14ac:dyDescent="0.45">
      <c r="A23" s="194" t="s">
        <v>455</v>
      </c>
      <c r="B23" s="194"/>
      <c r="C23" s="194" t="s">
        <v>339</v>
      </c>
      <c r="D23" s="194"/>
      <c r="E23" s="194"/>
      <c r="F23" s="194"/>
      <c r="G23" s="195" t="s">
        <v>340</v>
      </c>
      <c r="H23" s="23"/>
      <c r="I23" s="23"/>
      <c r="J23" s="195" t="s">
        <v>126</v>
      </c>
      <c r="K23" s="195" t="s">
        <v>341</v>
      </c>
      <c r="L23" s="23"/>
      <c r="M23" s="23"/>
      <c r="N23" s="23"/>
      <c r="O23" s="195" t="s">
        <v>342</v>
      </c>
      <c r="P23" s="23"/>
      <c r="Q23" s="195" t="s">
        <v>343</v>
      </c>
      <c r="R23" s="23"/>
    </row>
    <row r="24" spans="1:18" x14ac:dyDescent="0.45">
      <c r="A24" s="194" t="s">
        <v>456</v>
      </c>
      <c r="B24" s="194"/>
      <c r="C24" s="194" t="s">
        <v>344</v>
      </c>
      <c r="D24" s="194"/>
      <c r="E24" s="194"/>
      <c r="F24" s="194"/>
      <c r="G24" s="195" t="s">
        <v>269</v>
      </c>
      <c r="H24" s="23"/>
      <c r="I24" s="23"/>
      <c r="J24" s="195" t="s">
        <v>126</v>
      </c>
      <c r="K24" s="195" t="s">
        <v>345</v>
      </c>
      <c r="L24" s="23"/>
      <c r="M24" s="23"/>
      <c r="N24" s="23"/>
      <c r="O24" s="195" t="s">
        <v>346</v>
      </c>
      <c r="P24" s="23"/>
      <c r="Q24" s="195" t="s">
        <v>347</v>
      </c>
      <c r="R24" s="23"/>
    </row>
    <row r="25" spans="1:18" x14ac:dyDescent="0.45">
      <c r="A25" s="194" t="s">
        <v>457</v>
      </c>
      <c r="B25" s="194"/>
      <c r="C25" s="194" t="s">
        <v>348</v>
      </c>
      <c r="D25" s="194"/>
      <c r="E25" s="194"/>
      <c r="F25" s="194"/>
      <c r="G25" s="195" t="s">
        <v>336</v>
      </c>
      <c r="H25" s="23"/>
      <c r="I25" s="23"/>
      <c r="J25" s="195" t="s">
        <v>126</v>
      </c>
      <c r="K25" s="195" t="s">
        <v>349</v>
      </c>
      <c r="L25" s="23"/>
      <c r="M25" s="23"/>
      <c r="N25" s="23"/>
      <c r="O25" s="195" t="s">
        <v>350</v>
      </c>
      <c r="P25" s="23"/>
      <c r="Q25" s="195" t="s">
        <v>238</v>
      </c>
      <c r="R25" s="23"/>
    </row>
  </sheetData>
  <mergeCells count="23">
    <mergeCell ref="A24:B24"/>
    <mergeCell ref="A25:B25"/>
    <mergeCell ref="C24:F24"/>
    <mergeCell ref="C25:F25"/>
    <mergeCell ref="Q19:R19"/>
    <mergeCell ref="A21:B21"/>
    <mergeCell ref="K21:N21"/>
    <mergeCell ref="A1:P1"/>
    <mergeCell ref="K20:N20"/>
    <mergeCell ref="A15:C15"/>
    <mergeCell ref="C19:F20"/>
    <mergeCell ref="B3:P3"/>
    <mergeCell ref="C21:F21"/>
    <mergeCell ref="C23:F23"/>
    <mergeCell ref="B2:P2"/>
    <mergeCell ref="G19:I19"/>
    <mergeCell ref="O19:P19"/>
    <mergeCell ref="J19:N19"/>
    <mergeCell ref="A19:B20"/>
    <mergeCell ref="A23:B23"/>
    <mergeCell ref="A22:B22"/>
    <mergeCell ref="C22:F22"/>
    <mergeCell ref="K22:N22"/>
  </mergeCells>
  <hyperlinks>
    <hyperlink ref="A1" location="'Listado Objetos de Dominio'!A1" display="&lt;-Volver al inicio" xr:uid="{00000000-0004-0000-0B00-000000000000}"/>
    <hyperlink ref="Q4" location="'Objeto Dominio N'!A16" display="'Objeto Dominio N'!A16" xr:uid="{00000000-0004-0000-0B00-000001000000}"/>
    <hyperlink ref="R4" location="'Objeto Dominio 1'!A17" display="'Objeto Dominio 1'!A17" xr:uid="{00000000-0004-0000-0B00-000002000000}"/>
    <hyperlink ref="S4" location="'Objeto Dominio 1'!A18" display="'Objeto Dominio 1'!A18" xr:uid="{00000000-0004-0000-0B00-000003000000}"/>
    <hyperlink ref="T4" location="'Objeto Dominio 1'!A19" display="'Objeto Dominio 1'!A19" xr:uid="{00000000-0004-0000-0B00-000004000000}"/>
    <hyperlink ref="A21" location="'Objeto Dominio N'!R4" display="Reponsabilidad 2" xr:uid="{00000000-0004-0000-0B00-000005000000}"/>
    <hyperlink ref="A22" location="'Objeto Dominio N'!R4" display="Reponsabilidad 2" xr:uid="{00000000-0004-0000-0B00-000006000000}"/>
  </hyperlink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2"/>
  <sheetViews>
    <sheetView topLeftCell="A2" zoomScaleNormal="100" workbookViewId="0">
      <selection activeCell="C21" sqref="C21:F21"/>
    </sheetView>
  </sheetViews>
  <sheetFormatPr baseColWidth="10" defaultColWidth="11.3984375" defaultRowHeight="14.25" x14ac:dyDescent="0.45"/>
  <cols>
    <col min="1" max="1" width="23.86328125" style="1" bestFit="1" customWidth="1"/>
    <col min="2" max="2" width="18.59765625" style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Dominio'!$A$12</f>
        <v>Notificación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x14ac:dyDescent="0.45">
      <c r="A3" s="4" t="s">
        <v>38</v>
      </c>
      <c r="B3" s="160" t="str">
        <f>'Listado Objetos de Dominio'!$B$12</f>
        <v xml:space="preserve">Se refiere a las alertas y notificaciones que recibe el usuario 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str">
        <f>A20</f>
        <v>enviar notificacion</v>
      </c>
      <c r="R4" s="35" t="str">
        <f>A21</f>
        <v>consultar notificaciones</v>
      </c>
      <c r="S4" s="36" t="str">
        <f>A22</f>
        <v>marcar leidas</v>
      </c>
      <c r="T4" s="2" t="e">
        <f>#REF!</f>
        <v>#REF!</v>
      </c>
    </row>
    <row r="5" spans="1:20" x14ac:dyDescent="0.45">
      <c r="A5" s="11" t="s">
        <v>82</v>
      </c>
      <c r="B5" s="5" t="s">
        <v>83</v>
      </c>
      <c r="C5" s="176">
        <v>36</v>
      </c>
      <c r="D5" s="176">
        <v>36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351</v>
      </c>
      <c r="Q5" s="34"/>
      <c r="R5" s="23"/>
      <c r="S5" s="28"/>
      <c r="T5" s="31"/>
    </row>
    <row r="6" spans="1:20" x14ac:dyDescent="0.45">
      <c r="A6" s="69" t="s">
        <v>458</v>
      </c>
      <c r="B6" s="70" t="s">
        <v>110</v>
      </c>
      <c r="C6" s="70" t="s">
        <v>85</v>
      </c>
      <c r="D6" s="70" t="s">
        <v>85</v>
      </c>
      <c r="E6" s="70" t="s">
        <v>85</v>
      </c>
      <c r="F6" s="70" t="s">
        <v>85</v>
      </c>
      <c r="G6" s="70" t="s">
        <v>85</v>
      </c>
      <c r="H6" s="70" t="s">
        <v>352</v>
      </c>
      <c r="I6" s="70"/>
      <c r="J6" s="71" t="s">
        <v>353</v>
      </c>
      <c r="K6" s="70" t="s">
        <v>59</v>
      </c>
      <c r="L6" s="70" t="s">
        <v>59</v>
      </c>
      <c r="M6" s="70" t="s">
        <v>58</v>
      </c>
      <c r="N6" s="70" t="s">
        <v>59</v>
      </c>
      <c r="O6" s="70" t="s">
        <v>59</v>
      </c>
      <c r="P6" s="72" t="s">
        <v>354</v>
      </c>
      <c r="Q6" s="73"/>
      <c r="R6" s="74"/>
      <c r="S6" s="75"/>
      <c r="T6" s="76"/>
    </row>
    <row r="7" spans="1:20" x14ac:dyDescent="0.45">
      <c r="A7" s="69" t="s">
        <v>440</v>
      </c>
      <c r="B7" s="99" t="s">
        <v>90</v>
      </c>
      <c r="C7" s="179">
        <v>1</v>
      </c>
      <c r="D7" s="179">
        <v>150</v>
      </c>
      <c r="E7" s="90" t="s">
        <v>85</v>
      </c>
      <c r="F7" s="90" t="s">
        <v>85</v>
      </c>
      <c r="G7" s="90" t="s">
        <v>85</v>
      </c>
      <c r="H7" s="90" t="s">
        <v>61</v>
      </c>
      <c r="I7" s="90" t="s">
        <v>85</v>
      </c>
      <c r="J7" s="91"/>
      <c r="K7" s="90" t="s">
        <v>59</v>
      </c>
      <c r="L7" s="90" t="s">
        <v>59</v>
      </c>
      <c r="M7" s="90" t="s">
        <v>58</v>
      </c>
      <c r="N7" s="90" t="s">
        <v>59</v>
      </c>
      <c r="O7" s="90" t="s">
        <v>59</v>
      </c>
      <c r="P7" s="92" t="s">
        <v>355</v>
      </c>
      <c r="Q7" s="93"/>
      <c r="R7" s="94"/>
      <c r="S7" s="95"/>
      <c r="T7" s="96"/>
    </row>
    <row r="8" spans="1:20" x14ac:dyDescent="0.45">
      <c r="A8" s="63" t="s">
        <v>459</v>
      </c>
      <c r="B8" s="99" t="s">
        <v>90</v>
      </c>
      <c r="C8" s="179">
        <v>1</v>
      </c>
      <c r="D8" s="179">
        <v>500</v>
      </c>
      <c r="E8" s="90" t="s">
        <v>85</v>
      </c>
      <c r="F8" s="90" t="s">
        <v>85</v>
      </c>
      <c r="G8" s="90" t="s">
        <v>85</v>
      </c>
      <c r="H8" s="90" t="s">
        <v>61</v>
      </c>
      <c r="I8" s="90" t="s">
        <v>85</v>
      </c>
      <c r="J8" s="91"/>
      <c r="K8" s="90" t="s">
        <v>59</v>
      </c>
      <c r="L8" s="90" t="s">
        <v>59</v>
      </c>
      <c r="M8" s="90" t="s">
        <v>58</v>
      </c>
      <c r="N8" s="90" t="s">
        <v>59</v>
      </c>
      <c r="O8" s="90" t="s">
        <v>59</v>
      </c>
      <c r="P8" s="92" t="s">
        <v>356</v>
      </c>
      <c r="Q8" s="93"/>
      <c r="R8" s="94"/>
      <c r="S8" s="95"/>
      <c r="T8" s="96"/>
    </row>
    <row r="9" spans="1:20" x14ac:dyDescent="0.45">
      <c r="A9" s="90" t="s">
        <v>357</v>
      </c>
      <c r="B9" s="99" t="s">
        <v>90</v>
      </c>
      <c r="C9" s="90" t="s">
        <v>85</v>
      </c>
      <c r="D9" s="90" t="s">
        <v>85</v>
      </c>
      <c r="E9" s="90" t="s">
        <v>85</v>
      </c>
      <c r="F9" s="90" t="s">
        <v>177</v>
      </c>
      <c r="G9" s="90" t="s">
        <v>85</v>
      </c>
      <c r="H9" s="90"/>
      <c r="I9" s="100" t="s">
        <v>85</v>
      </c>
      <c r="J9" s="91" t="s">
        <v>358</v>
      </c>
      <c r="K9" s="99" t="s">
        <v>59</v>
      </c>
      <c r="L9" s="90" t="s">
        <v>59</v>
      </c>
      <c r="M9" s="90" t="s">
        <v>59</v>
      </c>
      <c r="N9" s="90" t="s">
        <v>59</v>
      </c>
      <c r="O9" s="90" t="s">
        <v>59</v>
      </c>
      <c r="P9" s="92" t="s">
        <v>359</v>
      </c>
      <c r="Q9" s="93"/>
      <c r="R9" s="94"/>
      <c r="S9" s="95"/>
      <c r="T9" s="96"/>
    </row>
    <row r="10" spans="1:20" x14ac:dyDescent="0.45">
      <c r="A10" s="90" t="s">
        <v>460</v>
      </c>
      <c r="B10" s="90" t="s">
        <v>360</v>
      </c>
      <c r="C10" s="90" t="s">
        <v>85</v>
      </c>
      <c r="D10" s="90" t="s">
        <v>85</v>
      </c>
      <c r="E10" s="90" t="s">
        <v>85</v>
      </c>
      <c r="F10" s="90" t="s">
        <v>85</v>
      </c>
      <c r="G10" s="90" t="s">
        <v>85</v>
      </c>
      <c r="H10" s="90" t="s">
        <v>361</v>
      </c>
      <c r="I10" s="100" t="s">
        <v>362</v>
      </c>
      <c r="J10" s="91" t="s">
        <v>363</v>
      </c>
      <c r="K10" s="99" t="s">
        <v>59</v>
      </c>
      <c r="L10" s="90" t="s">
        <v>59</v>
      </c>
      <c r="M10" s="90" t="s">
        <v>58</v>
      </c>
      <c r="N10" s="90" t="s">
        <v>59</v>
      </c>
      <c r="O10" s="90" t="s">
        <v>59</v>
      </c>
      <c r="P10" s="92" t="s">
        <v>364</v>
      </c>
      <c r="Q10" s="93"/>
      <c r="R10" s="94"/>
      <c r="S10" s="95"/>
      <c r="T10" s="96"/>
    </row>
    <row r="11" spans="1:20" x14ac:dyDescent="0.45">
      <c r="A11" s="63" t="s">
        <v>441</v>
      </c>
      <c r="B11" s="63" t="s">
        <v>119</v>
      </c>
      <c r="C11" s="63" t="s">
        <v>85</v>
      </c>
      <c r="D11" s="63" t="s">
        <v>85</v>
      </c>
      <c r="E11" s="63" t="s">
        <v>85</v>
      </c>
      <c r="F11" s="63" t="s">
        <v>85</v>
      </c>
      <c r="G11" s="63" t="s">
        <v>85</v>
      </c>
      <c r="H11" s="63" t="s">
        <v>120</v>
      </c>
      <c r="I11" s="63" t="s">
        <v>224</v>
      </c>
      <c r="J11" s="77"/>
      <c r="K11" s="63" t="s">
        <v>58</v>
      </c>
      <c r="L11" s="63" t="s">
        <v>59</v>
      </c>
      <c r="M11" s="63" t="s">
        <v>58</v>
      </c>
      <c r="N11" s="63" t="s">
        <v>59</v>
      </c>
      <c r="O11" s="63" t="s">
        <v>59</v>
      </c>
      <c r="P11" s="64" t="s">
        <v>365</v>
      </c>
      <c r="Q11" s="65"/>
      <c r="R11" s="66"/>
      <c r="S11" s="67"/>
      <c r="T11" s="68"/>
    </row>
    <row r="12" spans="1:20" ht="27" customHeight="1" x14ac:dyDescent="0.45">
      <c r="A12" s="63" t="s">
        <v>422</v>
      </c>
      <c r="B12" s="63" t="s">
        <v>422</v>
      </c>
      <c r="C12" s="63" t="s">
        <v>85</v>
      </c>
      <c r="D12" s="63" t="s">
        <v>85</v>
      </c>
      <c r="E12" s="63" t="s">
        <v>85</v>
      </c>
      <c r="F12" s="63" t="s">
        <v>85</v>
      </c>
      <c r="G12" s="63" t="s">
        <v>85</v>
      </c>
      <c r="H12" s="63" t="s">
        <v>86</v>
      </c>
      <c r="I12" s="63" t="s">
        <v>85</v>
      </c>
      <c r="J12" s="77" t="s">
        <v>366</v>
      </c>
      <c r="K12" s="63" t="s">
        <v>59</v>
      </c>
      <c r="L12" s="63" t="s">
        <v>59</v>
      </c>
      <c r="M12" s="63" t="s">
        <v>58</v>
      </c>
      <c r="N12" s="63" t="s">
        <v>59</v>
      </c>
      <c r="O12" s="63" t="s">
        <v>59</v>
      </c>
      <c r="P12" s="64" t="s">
        <v>367</v>
      </c>
      <c r="Q12" s="65"/>
      <c r="R12" s="66"/>
      <c r="S12" s="67"/>
      <c r="T12" s="68"/>
    </row>
    <row r="13" spans="1:20" x14ac:dyDescent="0.45">
      <c r="I13" s="89"/>
    </row>
    <row r="14" spans="1:20" x14ac:dyDescent="0.45">
      <c r="A14" s="155"/>
      <c r="B14" s="131"/>
      <c r="C14" s="132"/>
    </row>
    <row r="15" spans="1:20" x14ac:dyDescent="0.45">
      <c r="A15" s="17"/>
      <c r="B15" s="16"/>
      <c r="C15" s="18"/>
      <c r="E15" s="89"/>
    </row>
    <row r="16" spans="1:20" ht="39" customHeight="1" x14ac:dyDescent="0.45">
      <c r="A16" s="14"/>
      <c r="B16" s="15"/>
      <c r="C16" s="38"/>
      <c r="F16" s="89"/>
    </row>
    <row r="18" spans="1:18" x14ac:dyDescent="0.45">
      <c r="A18" s="145" t="s">
        <v>67</v>
      </c>
      <c r="B18" s="136"/>
      <c r="C18" s="134" t="s">
        <v>3</v>
      </c>
      <c r="D18" s="135"/>
      <c r="E18" s="135"/>
      <c r="F18" s="136"/>
      <c r="G18" s="134" t="s">
        <v>68</v>
      </c>
      <c r="H18" s="131"/>
      <c r="I18" s="132"/>
      <c r="J18" s="134" t="s">
        <v>69</v>
      </c>
      <c r="K18" s="131"/>
      <c r="L18" s="131"/>
      <c r="M18" s="131"/>
      <c r="N18" s="132"/>
      <c r="O18" s="134" t="s">
        <v>70</v>
      </c>
      <c r="P18" s="132"/>
      <c r="Q18" s="134" t="s">
        <v>71</v>
      </c>
      <c r="R18" s="132"/>
    </row>
    <row r="19" spans="1:18" x14ac:dyDescent="0.45">
      <c r="A19" s="146"/>
      <c r="B19" s="139"/>
      <c r="C19" s="137"/>
      <c r="D19" s="138"/>
      <c r="E19" s="138"/>
      <c r="F19" s="139"/>
      <c r="G19" s="19" t="s">
        <v>72</v>
      </c>
      <c r="H19" s="19" t="s">
        <v>73</v>
      </c>
      <c r="I19" s="19" t="s">
        <v>3</v>
      </c>
      <c r="J19" s="19" t="s">
        <v>40</v>
      </c>
      <c r="K19" s="154" t="s">
        <v>3</v>
      </c>
      <c r="L19" s="141"/>
      <c r="M19" s="141"/>
      <c r="N19" s="142"/>
      <c r="O19" s="19" t="s">
        <v>74</v>
      </c>
      <c r="P19" s="19" t="s">
        <v>3</v>
      </c>
      <c r="Q19" s="19" t="s">
        <v>75</v>
      </c>
      <c r="R19" s="25" t="s">
        <v>76</v>
      </c>
    </row>
    <row r="20" spans="1:18" ht="47.25" customHeight="1" x14ac:dyDescent="0.45">
      <c r="A20" s="158" t="s">
        <v>461</v>
      </c>
      <c r="B20" s="142"/>
      <c r="C20" s="140" t="s">
        <v>368</v>
      </c>
      <c r="D20" s="141"/>
      <c r="E20" s="141"/>
      <c r="F20" s="142"/>
      <c r="G20" s="46" t="s">
        <v>369</v>
      </c>
      <c r="H20" s="44"/>
      <c r="I20" s="45"/>
      <c r="J20" s="39" t="s">
        <v>370</v>
      </c>
      <c r="K20" s="144" t="s">
        <v>371</v>
      </c>
      <c r="L20" s="141"/>
      <c r="M20" s="141"/>
      <c r="N20" s="142"/>
      <c r="O20" s="23" t="s">
        <v>372</v>
      </c>
      <c r="P20" s="24"/>
      <c r="Q20" s="24" t="s">
        <v>373</v>
      </c>
      <c r="R20" s="27"/>
    </row>
    <row r="21" spans="1:18" ht="27.75" customHeight="1" x14ac:dyDescent="0.45">
      <c r="A21" s="158" t="s">
        <v>462</v>
      </c>
      <c r="B21" s="142"/>
      <c r="C21" s="140" t="s">
        <v>374</v>
      </c>
      <c r="D21" s="141"/>
      <c r="E21" s="141"/>
      <c r="F21" s="142"/>
      <c r="G21" s="46" t="s">
        <v>138</v>
      </c>
      <c r="H21" s="44"/>
      <c r="I21" s="45"/>
      <c r="J21" s="39" t="s">
        <v>126</v>
      </c>
      <c r="K21" s="144" t="s">
        <v>375</v>
      </c>
      <c r="L21" s="141"/>
      <c r="M21" s="141"/>
      <c r="N21" s="142"/>
      <c r="O21" s="23" t="s">
        <v>233</v>
      </c>
      <c r="P21" s="24"/>
      <c r="Q21" s="24" t="s">
        <v>376</v>
      </c>
      <c r="R21" s="27"/>
    </row>
    <row r="22" spans="1:18" ht="27.75" customHeight="1" x14ac:dyDescent="0.45">
      <c r="A22" s="158" t="s">
        <v>463</v>
      </c>
      <c r="B22" s="142"/>
      <c r="C22" s="140" t="s">
        <v>377</v>
      </c>
      <c r="D22" s="141"/>
      <c r="E22" s="141"/>
      <c r="F22" s="142"/>
      <c r="G22" s="46" t="s">
        <v>378</v>
      </c>
      <c r="H22" s="44"/>
      <c r="I22" s="45"/>
      <c r="J22" s="39" t="s">
        <v>126</v>
      </c>
      <c r="K22" s="144" t="s">
        <v>286</v>
      </c>
      <c r="L22" s="141"/>
      <c r="M22" s="141"/>
      <c r="N22" s="142"/>
      <c r="O22" s="23" t="s">
        <v>379</v>
      </c>
      <c r="P22" s="24"/>
      <c r="Q22" s="24" t="s">
        <v>193</v>
      </c>
      <c r="R22" s="27"/>
    </row>
  </sheetData>
  <mergeCells count="20">
    <mergeCell ref="A22:B22"/>
    <mergeCell ref="C22:F22"/>
    <mergeCell ref="A20:B20"/>
    <mergeCell ref="K22:N22"/>
    <mergeCell ref="B3:P3"/>
    <mergeCell ref="C21:F21"/>
    <mergeCell ref="J18:N18"/>
    <mergeCell ref="C18:F19"/>
    <mergeCell ref="A21:B21"/>
    <mergeCell ref="A1:P1"/>
    <mergeCell ref="K21:N21"/>
    <mergeCell ref="C20:F20"/>
    <mergeCell ref="K20:N20"/>
    <mergeCell ref="B2:P2"/>
    <mergeCell ref="G18:I18"/>
    <mergeCell ref="A18:B19"/>
    <mergeCell ref="O18:P18"/>
    <mergeCell ref="Q18:R18"/>
    <mergeCell ref="K19:N19"/>
    <mergeCell ref="A14:C14"/>
  </mergeCells>
  <hyperlinks>
    <hyperlink ref="A1" location="'Listado Objetos de Dominio'!A1" display="&lt;-Volver al inicio" xr:uid="{00000000-0004-0000-0C00-000000000000}"/>
    <hyperlink ref="Q4" location="'Objeto Dominio N'!A16" display="'Objeto Dominio N'!A16" xr:uid="{00000000-0004-0000-0C00-000001000000}"/>
    <hyperlink ref="R4" location="'Objeto Dominio 1'!A17" display="'Objeto Dominio 1'!A17" xr:uid="{00000000-0004-0000-0C00-000002000000}"/>
    <hyperlink ref="S4" location="'Objeto Dominio 1'!A18" display="'Objeto Dominio 1'!A18" xr:uid="{00000000-0004-0000-0C00-000003000000}"/>
    <hyperlink ref="T4" location="'Objeto Dominio 1'!A19" display="'Objeto Dominio 1'!A19" xr:uid="{00000000-0004-0000-0C00-000004000000}"/>
    <hyperlink ref="A20" location="'Objeto Dominio N'!R4" display="Reponsabilidad 2" xr:uid="{00000000-0004-0000-0C00-000005000000}"/>
    <hyperlink ref="A21" location="'Objeto Dominio N'!R4" display="Reponsabilidad 2" xr:uid="{00000000-0004-0000-0C00-000006000000}"/>
    <hyperlink ref="A22" location="'Objeto Dominio N'!R4" display="Reponsabilidad 2" xr:uid="{00000000-0004-0000-0C00-000007000000}"/>
  </hyperlink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0"/>
  <sheetViews>
    <sheetView zoomScaleNormal="100" workbookViewId="0">
      <selection activeCell="A16" sqref="A16:B17"/>
    </sheetView>
  </sheetViews>
  <sheetFormatPr baseColWidth="10" defaultColWidth="11.3984375" defaultRowHeight="14.25" x14ac:dyDescent="0.45"/>
  <cols>
    <col min="1" max="1" width="23.86328125" style="1" bestFit="1" customWidth="1"/>
    <col min="2" max="2" width="18.59765625" style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Dominio'!$A$13</f>
        <v>Plan de suscripción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x14ac:dyDescent="0.45">
      <c r="A3" s="4" t="s">
        <v>38</v>
      </c>
      <c r="B3" s="160" t="str">
        <f>'Listado Objetos de Dominio'!$B$13</f>
        <v>Indica el plan al que el usuario se encuentra inscrito y los beneficios que posee con este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 t="e">
        <f>#REF!</f>
        <v>#REF!</v>
      </c>
      <c r="R4" s="35" t="str">
        <f>A18</f>
        <v>Consultar</v>
      </c>
      <c r="S4" s="36" t="str">
        <f>A20</f>
        <v>Iniciar pago</v>
      </c>
      <c r="T4" s="2" t="e">
        <f>#REF!</f>
        <v>#REF!</v>
      </c>
    </row>
    <row r="5" spans="1:20" x14ac:dyDescent="0.45">
      <c r="A5" s="11" t="s">
        <v>82</v>
      </c>
      <c r="B5" s="5" t="s">
        <v>83</v>
      </c>
      <c r="C5" s="5" t="s">
        <v>84</v>
      </c>
      <c r="D5" s="5" t="s">
        <v>84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380</v>
      </c>
      <c r="Q5" s="34"/>
      <c r="R5" s="23"/>
      <c r="S5" s="28"/>
      <c r="T5" s="31"/>
    </row>
    <row r="6" spans="1:20" x14ac:dyDescent="0.45">
      <c r="A6" s="69" t="s">
        <v>166</v>
      </c>
      <c r="B6" s="70" t="s">
        <v>90</v>
      </c>
      <c r="C6" s="70" t="s">
        <v>95</v>
      </c>
      <c r="D6" s="70" t="s">
        <v>96</v>
      </c>
      <c r="E6" s="70" t="s">
        <v>85</v>
      </c>
      <c r="F6" s="70" t="s">
        <v>85</v>
      </c>
      <c r="G6" s="70" t="s">
        <v>85</v>
      </c>
      <c r="H6" s="70" t="s">
        <v>61</v>
      </c>
      <c r="I6" s="70" t="s">
        <v>85</v>
      </c>
      <c r="J6" s="71" t="s">
        <v>381</v>
      </c>
      <c r="K6" s="70" t="s">
        <v>59</v>
      </c>
      <c r="L6" s="70" t="s">
        <v>59</v>
      </c>
      <c r="M6" s="70" t="s">
        <v>58</v>
      </c>
      <c r="N6" s="70" t="s">
        <v>59</v>
      </c>
      <c r="O6" s="70" t="s">
        <v>59</v>
      </c>
      <c r="P6" s="72" t="s">
        <v>382</v>
      </c>
      <c r="Q6" s="73"/>
      <c r="R6" s="74"/>
      <c r="S6" s="75"/>
      <c r="T6" s="76"/>
    </row>
    <row r="7" spans="1:20" x14ac:dyDescent="0.45">
      <c r="A7" s="69" t="s">
        <v>313</v>
      </c>
      <c r="B7" s="99" t="s">
        <v>298</v>
      </c>
      <c r="C7" s="90" t="s">
        <v>85</v>
      </c>
      <c r="D7" s="90" t="s">
        <v>85</v>
      </c>
      <c r="E7" s="90" t="s">
        <v>303</v>
      </c>
      <c r="F7" s="90" t="s">
        <v>303</v>
      </c>
      <c r="G7" s="90" t="s">
        <v>85</v>
      </c>
      <c r="H7" s="90" t="s">
        <v>299</v>
      </c>
      <c r="I7" s="90" t="s">
        <v>85</v>
      </c>
      <c r="J7" s="91" t="s">
        <v>383</v>
      </c>
      <c r="K7" s="90" t="s">
        <v>59</v>
      </c>
      <c r="L7" s="90" t="s">
        <v>59</v>
      </c>
      <c r="M7" s="90" t="s">
        <v>58</v>
      </c>
      <c r="N7" s="90" t="s">
        <v>59</v>
      </c>
      <c r="O7" s="90" t="s">
        <v>59</v>
      </c>
      <c r="P7" s="92" t="s">
        <v>384</v>
      </c>
      <c r="Q7" s="93"/>
      <c r="R7" s="94"/>
      <c r="S7" s="95"/>
      <c r="T7" s="96"/>
    </row>
    <row r="8" spans="1:20" x14ac:dyDescent="0.45">
      <c r="A8" s="63" t="s">
        <v>385</v>
      </c>
      <c r="B8" s="99" t="s">
        <v>298</v>
      </c>
      <c r="C8" s="90" t="s">
        <v>85</v>
      </c>
      <c r="D8" s="90" t="s">
        <v>85</v>
      </c>
      <c r="E8" s="90" t="s">
        <v>85</v>
      </c>
      <c r="F8" s="90" t="s">
        <v>85</v>
      </c>
      <c r="G8" s="90" t="s">
        <v>85</v>
      </c>
      <c r="H8" s="90" t="s">
        <v>299</v>
      </c>
      <c r="I8" s="90" t="s">
        <v>85</v>
      </c>
      <c r="J8" s="91" t="s">
        <v>386</v>
      </c>
      <c r="K8" s="90" t="s">
        <v>59</v>
      </c>
      <c r="L8" s="90" t="s">
        <v>59</v>
      </c>
      <c r="M8" s="90" t="s">
        <v>58</v>
      </c>
      <c r="N8" s="90" t="s">
        <v>59</v>
      </c>
      <c r="O8" s="90" t="s">
        <v>59</v>
      </c>
      <c r="P8" s="92" t="s">
        <v>387</v>
      </c>
      <c r="Q8" s="93"/>
      <c r="R8" s="94"/>
      <c r="S8" s="95"/>
      <c r="T8" s="96"/>
    </row>
    <row r="9" spans="1:20" x14ac:dyDescent="0.45">
      <c r="A9" s="90" t="s">
        <v>388</v>
      </c>
      <c r="B9" s="99" t="s">
        <v>298</v>
      </c>
      <c r="C9" s="90" t="s">
        <v>85</v>
      </c>
      <c r="D9" s="90" t="s">
        <v>85</v>
      </c>
      <c r="E9" s="90" t="s">
        <v>85</v>
      </c>
      <c r="F9" s="90" t="s">
        <v>85</v>
      </c>
      <c r="G9" s="90" t="s">
        <v>85</v>
      </c>
      <c r="H9" s="90" t="s">
        <v>299</v>
      </c>
      <c r="I9" s="100" t="s">
        <v>85</v>
      </c>
      <c r="J9" s="91" t="s">
        <v>389</v>
      </c>
      <c r="K9" s="99" t="s">
        <v>59</v>
      </c>
      <c r="L9" s="90" t="s">
        <v>59</v>
      </c>
      <c r="M9" s="90" t="s">
        <v>58</v>
      </c>
      <c r="N9" s="90" t="s">
        <v>59</v>
      </c>
      <c r="O9" s="90" t="s">
        <v>59</v>
      </c>
      <c r="P9" s="92" t="s">
        <v>390</v>
      </c>
      <c r="Q9" s="93"/>
      <c r="R9" s="94"/>
      <c r="S9" s="95"/>
      <c r="T9" s="96"/>
    </row>
    <row r="10" spans="1:20" ht="27" customHeight="1" x14ac:dyDescent="0.45">
      <c r="A10" s="63" t="s">
        <v>391</v>
      </c>
      <c r="B10" s="63" t="s">
        <v>298</v>
      </c>
      <c r="C10" s="63" t="s">
        <v>85</v>
      </c>
      <c r="D10" s="63" t="s">
        <v>85</v>
      </c>
      <c r="E10" s="63" t="s">
        <v>85</v>
      </c>
      <c r="F10" s="63" t="s">
        <v>85</v>
      </c>
      <c r="G10" s="63" t="s">
        <v>85</v>
      </c>
      <c r="H10" s="63" t="s">
        <v>299</v>
      </c>
      <c r="I10" s="97" t="s">
        <v>85</v>
      </c>
      <c r="J10" s="77" t="s">
        <v>392</v>
      </c>
      <c r="K10" s="98" t="s">
        <v>59</v>
      </c>
      <c r="L10" s="63" t="s">
        <v>59</v>
      </c>
      <c r="M10" s="63" t="s">
        <v>58</v>
      </c>
      <c r="N10" s="63" t="s">
        <v>59</v>
      </c>
      <c r="O10" s="63" t="s">
        <v>59</v>
      </c>
      <c r="P10" s="64" t="s">
        <v>393</v>
      </c>
      <c r="Q10" s="65"/>
      <c r="R10" s="66"/>
      <c r="S10" s="67"/>
      <c r="T10" s="68"/>
    </row>
    <row r="11" spans="1:20" x14ac:dyDescent="0.45">
      <c r="I11" s="89"/>
    </row>
    <row r="12" spans="1:20" x14ac:dyDescent="0.45">
      <c r="A12" s="155"/>
      <c r="B12" s="131"/>
      <c r="C12" s="132"/>
    </row>
    <row r="13" spans="1:20" x14ac:dyDescent="0.45">
      <c r="A13" s="17"/>
      <c r="B13" s="16"/>
      <c r="C13" s="18"/>
      <c r="E13" s="89"/>
    </row>
    <row r="14" spans="1:20" ht="39" customHeight="1" x14ac:dyDescent="0.45">
      <c r="A14" s="14"/>
      <c r="B14" s="15"/>
      <c r="C14" s="38"/>
      <c r="F14" s="89"/>
    </row>
    <row r="16" spans="1:20" x14ac:dyDescent="0.45">
      <c r="A16" s="145"/>
      <c r="B16" s="136"/>
      <c r="C16" s="134"/>
      <c r="D16" s="135"/>
      <c r="E16" s="135"/>
      <c r="F16" s="136"/>
      <c r="G16" s="134"/>
      <c r="H16" s="131"/>
      <c r="I16" s="132"/>
      <c r="J16" s="134"/>
      <c r="K16" s="131"/>
      <c r="L16" s="131"/>
      <c r="M16" s="131"/>
      <c r="N16" s="132"/>
      <c r="O16" s="134"/>
      <c r="P16" s="132"/>
      <c r="Q16" s="134" t="s">
        <v>71</v>
      </c>
      <c r="R16" s="132"/>
    </row>
    <row r="17" spans="1:18" x14ac:dyDescent="0.45">
      <c r="A17" s="146"/>
      <c r="B17" s="139"/>
      <c r="C17" s="137"/>
      <c r="D17" s="138"/>
      <c r="E17" s="138"/>
      <c r="F17" s="139"/>
      <c r="G17" s="19"/>
      <c r="H17" s="19"/>
      <c r="I17" s="19"/>
      <c r="J17" s="19"/>
      <c r="K17" s="154"/>
      <c r="L17" s="141"/>
      <c r="M17" s="141"/>
      <c r="N17" s="142"/>
      <c r="O17" s="19"/>
      <c r="P17" s="19"/>
      <c r="Q17" s="19" t="s">
        <v>75</v>
      </c>
      <c r="R17" s="25" t="s">
        <v>76</v>
      </c>
    </row>
    <row r="18" spans="1:18" ht="27.75" customHeight="1" x14ac:dyDescent="0.45">
      <c r="A18" s="158" t="s">
        <v>77</v>
      </c>
      <c r="B18" s="142"/>
      <c r="C18" s="140" t="s">
        <v>394</v>
      </c>
      <c r="D18" s="141"/>
      <c r="E18" s="141"/>
      <c r="F18" s="142"/>
      <c r="G18" s="46"/>
      <c r="H18" s="44"/>
      <c r="I18" s="45"/>
      <c r="J18" s="39"/>
      <c r="K18" s="144"/>
      <c r="L18" s="141"/>
      <c r="M18" s="141"/>
      <c r="N18" s="142"/>
      <c r="O18" s="23"/>
      <c r="P18" s="24"/>
      <c r="Q18" s="24"/>
      <c r="R18" s="27"/>
    </row>
    <row r="19" spans="1:18" ht="27.75" customHeight="1" x14ac:dyDescent="0.45">
      <c r="A19" s="158" t="s">
        <v>395</v>
      </c>
      <c r="B19" s="142"/>
      <c r="C19" s="140" t="s">
        <v>396</v>
      </c>
      <c r="D19" s="141"/>
      <c r="E19" s="141"/>
      <c r="F19" s="142"/>
      <c r="G19" s="46"/>
      <c r="H19" s="44"/>
      <c r="I19" s="45"/>
      <c r="J19" s="39"/>
      <c r="K19" s="123"/>
      <c r="L19" s="124"/>
      <c r="M19" s="124"/>
      <c r="N19" s="125"/>
      <c r="O19" s="23"/>
      <c r="P19" s="24"/>
      <c r="Q19" s="24"/>
      <c r="R19" s="27"/>
    </row>
    <row r="20" spans="1:18" ht="27.75" customHeight="1" x14ac:dyDescent="0.45">
      <c r="A20" s="158" t="s">
        <v>397</v>
      </c>
      <c r="B20" s="142"/>
      <c r="C20" s="140" t="s">
        <v>398</v>
      </c>
      <c r="D20" s="141"/>
      <c r="E20" s="141"/>
      <c r="F20" s="142"/>
      <c r="G20" s="46"/>
      <c r="H20" s="44"/>
      <c r="I20" s="45"/>
      <c r="J20" s="39"/>
      <c r="K20" s="144"/>
      <c r="L20" s="141"/>
      <c r="M20" s="141"/>
      <c r="N20" s="142"/>
      <c r="O20" s="23"/>
      <c r="P20" s="24"/>
      <c r="Q20" s="24"/>
      <c r="R20" s="27"/>
    </row>
  </sheetData>
  <mergeCells count="19">
    <mergeCell ref="A1:P1"/>
    <mergeCell ref="C20:F20"/>
    <mergeCell ref="J16:N16"/>
    <mergeCell ref="K20:N20"/>
    <mergeCell ref="A20:B20"/>
    <mergeCell ref="A16:B17"/>
    <mergeCell ref="A19:B19"/>
    <mergeCell ref="B3:P3"/>
    <mergeCell ref="C19:F19"/>
    <mergeCell ref="C18:F18"/>
    <mergeCell ref="K18:N18"/>
    <mergeCell ref="A18:B18"/>
    <mergeCell ref="G16:I16"/>
    <mergeCell ref="Q16:R16"/>
    <mergeCell ref="B2:P2"/>
    <mergeCell ref="K17:N17"/>
    <mergeCell ref="C16:F17"/>
    <mergeCell ref="A12:C12"/>
    <mergeCell ref="O16:P16"/>
  </mergeCells>
  <hyperlinks>
    <hyperlink ref="A1" location="'Listado Objetos de Dominio'!A1" display="&lt;-Volver al inicio" xr:uid="{00000000-0004-0000-0D00-000000000000}"/>
    <hyperlink ref="Q4" location="'Objeto Dominio N'!A16" display="'Objeto Dominio N'!A16" xr:uid="{00000000-0004-0000-0D00-000001000000}"/>
    <hyperlink ref="R4" location="'Objeto Dominio 1'!A17" display="'Objeto Dominio 1'!A17" xr:uid="{00000000-0004-0000-0D00-000002000000}"/>
    <hyperlink ref="S4" location="'Objeto Dominio 1'!A18" display="'Objeto Dominio 1'!A18" xr:uid="{00000000-0004-0000-0D00-000003000000}"/>
    <hyperlink ref="T4" location="'Objeto Dominio 1'!A19" display="'Objeto Dominio 1'!A19" xr:uid="{00000000-0004-0000-0D00-000004000000}"/>
    <hyperlink ref="A18" location="'Objeto Dominio N'!R4" display="Reponsabilidad 2" xr:uid="{00000000-0004-0000-0D00-000005000000}"/>
    <hyperlink ref="A20" location="'Objeto Dominio N'!R4" display="Reponsabilidad 2" xr:uid="{00000000-0004-0000-0D00-000006000000}"/>
  </hyperlink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1"/>
  <sheetViews>
    <sheetView tabSelected="1" topLeftCell="A6" zoomScaleNormal="100" workbookViewId="0">
      <selection activeCell="B23" sqref="B23"/>
    </sheetView>
  </sheetViews>
  <sheetFormatPr baseColWidth="10" defaultColWidth="11.3984375" defaultRowHeight="14.25" x14ac:dyDescent="0.45"/>
  <cols>
    <col min="1" max="1" width="23.86328125" style="1" bestFit="1" customWidth="1"/>
    <col min="2" max="2" width="18.59765625" style="1" customWidth="1"/>
    <col min="3" max="3" width="18.73046875" style="1" bestFit="1" customWidth="1"/>
    <col min="4" max="4" width="18.86328125" style="1" bestFit="1" customWidth="1"/>
    <col min="5" max="5" width="11.59765625" style="1" bestFit="1" customWidth="1"/>
    <col min="6" max="6" width="15.265625" style="1" bestFit="1" customWidth="1"/>
    <col min="7" max="7" width="28.59765625" style="1" bestFit="1" customWidth="1"/>
    <col min="8" max="8" width="16.86328125" style="1" bestFit="1" customWidth="1"/>
    <col min="9" max="9" width="79.265625" style="1" bestFit="1" customWidth="1"/>
    <col min="10" max="10" width="36.59765625" style="1" bestFit="1" customWidth="1"/>
    <col min="11" max="11" width="19.265625" style="1" bestFit="1" customWidth="1"/>
    <col min="12" max="12" width="14.3984375" style="1" bestFit="1" customWidth="1"/>
    <col min="13" max="13" width="15.73046875" style="1" bestFit="1" customWidth="1"/>
    <col min="14" max="14" width="12.86328125" style="1" bestFit="1" customWidth="1"/>
    <col min="15" max="15" width="25" style="1" bestFit="1" customWidth="1"/>
    <col min="16" max="16" width="94.3984375" style="1" bestFit="1" customWidth="1"/>
    <col min="17" max="17" width="132.59765625" style="1" bestFit="1" customWidth="1"/>
    <col min="18" max="18" width="46.3984375" style="1" bestFit="1" customWidth="1"/>
    <col min="19" max="19" width="50.1328125" style="1" bestFit="1" customWidth="1"/>
    <col min="20" max="20" width="66.86328125" style="1" bestFit="1" customWidth="1"/>
    <col min="21" max="21" width="52.265625" style="1" bestFit="1" customWidth="1"/>
    <col min="22" max="22" width="11.3984375" style="1" customWidth="1"/>
    <col min="23" max="16384" width="11.3984375" style="1"/>
  </cols>
  <sheetData>
    <row r="1" spans="1:20" x14ac:dyDescent="0.45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20" x14ac:dyDescent="0.45">
      <c r="A2" s="4" t="s">
        <v>37</v>
      </c>
      <c r="B2" s="143" t="str">
        <f>'Listado Objetos de Dominio'!$A$13</f>
        <v>Plan de suscripción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2"/>
    </row>
    <row r="3" spans="1:20" x14ac:dyDescent="0.45">
      <c r="A3" s="4" t="s">
        <v>38</v>
      </c>
      <c r="B3" s="160" t="str">
        <f>'Listado Objetos de Dominio'!$B$13</f>
        <v>Indica el plan al que el usuario se encuentra inscrito y los beneficios que posee con este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2"/>
    </row>
    <row r="4" spans="1:20" x14ac:dyDescent="0.45">
      <c r="A4" s="8" t="s">
        <v>39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  <c r="L4" s="9" t="s">
        <v>50</v>
      </c>
      <c r="M4" s="9" t="s">
        <v>51</v>
      </c>
      <c r="N4" s="9" t="s">
        <v>52</v>
      </c>
      <c r="O4" s="9" t="s">
        <v>53</v>
      </c>
      <c r="P4" s="10" t="s">
        <v>3</v>
      </c>
      <c r="Q4" s="37">
        <f>A19</f>
        <v>0</v>
      </c>
      <c r="R4" s="35">
        <f>A20</f>
        <v>0</v>
      </c>
      <c r="S4" s="36">
        <f>A21</f>
        <v>0</v>
      </c>
      <c r="T4" s="2" t="e">
        <f>#REF!</f>
        <v>#REF!</v>
      </c>
    </row>
    <row r="5" spans="1:20" x14ac:dyDescent="0.45">
      <c r="A5" s="11" t="s">
        <v>82</v>
      </c>
      <c r="B5" s="5" t="s">
        <v>83</v>
      </c>
      <c r="C5" s="176">
        <v>36</v>
      </c>
      <c r="D5" s="176">
        <v>36</v>
      </c>
      <c r="E5" s="5" t="s">
        <v>85</v>
      </c>
      <c r="F5" s="5" t="s">
        <v>85</v>
      </c>
      <c r="G5" s="5" t="s">
        <v>85</v>
      </c>
      <c r="H5" s="5" t="s">
        <v>86</v>
      </c>
      <c r="I5" s="5" t="s">
        <v>85</v>
      </c>
      <c r="J5" s="13"/>
      <c r="K5" s="12" t="s">
        <v>58</v>
      </c>
      <c r="L5" s="5" t="s">
        <v>59</v>
      </c>
      <c r="M5" s="5" t="s">
        <v>58</v>
      </c>
      <c r="N5" s="5" t="s">
        <v>59</v>
      </c>
      <c r="O5" s="5" t="s">
        <v>58</v>
      </c>
      <c r="P5" s="7" t="s">
        <v>399</v>
      </c>
      <c r="Q5" s="34"/>
      <c r="R5" s="23"/>
      <c r="S5" s="28"/>
      <c r="T5" s="31"/>
    </row>
    <row r="6" spans="1:20" ht="27" customHeight="1" x14ac:dyDescent="0.45">
      <c r="A6" s="69" t="s">
        <v>422</v>
      </c>
      <c r="B6" s="70" t="s">
        <v>422</v>
      </c>
      <c r="C6" s="70" t="s">
        <v>85</v>
      </c>
      <c r="D6" s="70" t="s">
        <v>85</v>
      </c>
      <c r="E6" s="70" t="s">
        <v>85</v>
      </c>
      <c r="F6" s="70" t="s">
        <v>85</v>
      </c>
      <c r="G6" s="70" t="s">
        <v>85</v>
      </c>
      <c r="H6" s="70" t="s">
        <v>86</v>
      </c>
      <c r="I6" s="70" t="s">
        <v>85</v>
      </c>
      <c r="J6" s="101" t="s">
        <v>400</v>
      </c>
      <c r="K6" s="70" t="s">
        <v>59</v>
      </c>
      <c r="L6" s="70" t="s">
        <v>59</v>
      </c>
      <c r="M6" s="70" t="s">
        <v>58</v>
      </c>
      <c r="N6" s="70" t="s">
        <v>59</v>
      </c>
      <c r="O6" s="70" t="s">
        <v>59</v>
      </c>
      <c r="P6" s="72" t="s">
        <v>138</v>
      </c>
      <c r="Q6" s="73"/>
      <c r="R6" s="74"/>
      <c r="S6" s="75"/>
      <c r="T6" s="76"/>
    </row>
    <row r="7" spans="1:20" ht="27" customHeight="1" x14ac:dyDescent="0.45">
      <c r="A7" s="69" t="s">
        <v>464</v>
      </c>
      <c r="B7" s="99" t="s">
        <v>29</v>
      </c>
      <c r="C7" s="90" t="s">
        <v>85</v>
      </c>
      <c r="D7" s="90" t="s">
        <v>85</v>
      </c>
      <c r="E7" s="90" t="s">
        <v>85</v>
      </c>
      <c r="F7" s="90" t="s">
        <v>85</v>
      </c>
      <c r="G7" s="90" t="s">
        <v>85</v>
      </c>
      <c r="H7" s="90" t="s">
        <v>86</v>
      </c>
      <c r="I7" s="90" t="s">
        <v>85</v>
      </c>
      <c r="J7" s="91" t="s">
        <v>401</v>
      </c>
      <c r="K7" s="90" t="s">
        <v>59</v>
      </c>
      <c r="L7" s="90" t="s">
        <v>59</v>
      </c>
      <c r="M7" s="90" t="s">
        <v>58</v>
      </c>
      <c r="N7" s="90" t="s">
        <v>59</v>
      </c>
      <c r="O7" s="90" t="s">
        <v>59</v>
      </c>
      <c r="P7" s="92" t="s">
        <v>402</v>
      </c>
      <c r="Q7" s="93"/>
      <c r="R7" s="94"/>
      <c r="S7" s="95"/>
      <c r="T7" s="96"/>
    </row>
    <row r="8" spans="1:20" x14ac:dyDescent="0.45">
      <c r="A8" s="63" t="s">
        <v>444</v>
      </c>
      <c r="B8" s="99" t="s">
        <v>298</v>
      </c>
      <c r="C8" s="90" t="s">
        <v>85</v>
      </c>
      <c r="D8" s="90" t="s">
        <v>85</v>
      </c>
      <c r="E8" s="179">
        <v>0</v>
      </c>
      <c r="F8" s="179">
        <v>0</v>
      </c>
      <c r="G8" s="90" t="s">
        <v>85</v>
      </c>
      <c r="H8" s="90" t="s">
        <v>314</v>
      </c>
      <c r="I8" s="90" t="s">
        <v>85</v>
      </c>
      <c r="J8" s="91" t="s">
        <v>403</v>
      </c>
      <c r="K8" s="90" t="s">
        <v>59</v>
      </c>
      <c r="L8" s="90" t="s">
        <v>59</v>
      </c>
      <c r="M8" s="90" t="s">
        <v>58</v>
      </c>
      <c r="N8" s="90" t="s">
        <v>59</v>
      </c>
      <c r="O8" s="90" t="s">
        <v>59</v>
      </c>
      <c r="P8" s="92" t="s">
        <v>404</v>
      </c>
      <c r="Q8" s="93"/>
      <c r="R8" s="94"/>
      <c r="S8" s="95"/>
      <c r="T8" s="96"/>
    </row>
    <row r="9" spans="1:20" x14ac:dyDescent="0.45">
      <c r="A9" s="90" t="s">
        <v>429</v>
      </c>
      <c r="B9" s="99" t="s">
        <v>90</v>
      </c>
      <c r="C9" s="90" t="s">
        <v>85</v>
      </c>
      <c r="D9" s="90" t="s">
        <v>85</v>
      </c>
      <c r="E9" s="90" t="s">
        <v>85</v>
      </c>
      <c r="F9" s="90" t="s">
        <v>85</v>
      </c>
      <c r="G9" s="90" t="s">
        <v>85</v>
      </c>
      <c r="H9" s="90" t="s">
        <v>405</v>
      </c>
      <c r="I9" s="100" t="s">
        <v>174</v>
      </c>
      <c r="J9" s="91" t="s">
        <v>406</v>
      </c>
      <c r="K9" s="99" t="s">
        <v>59</v>
      </c>
      <c r="L9" s="90" t="s">
        <v>59</v>
      </c>
      <c r="M9" s="90" t="s">
        <v>58</v>
      </c>
      <c r="N9" s="90" t="s">
        <v>59</v>
      </c>
      <c r="O9" s="90" t="s">
        <v>59</v>
      </c>
      <c r="P9" s="92" t="s">
        <v>223</v>
      </c>
      <c r="Q9" s="93"/>
      <c r="R9" s="94"/>
      <c r="S9" s="95"/>
      <c r="T9" s="96"/>
    </row>
    <row r="10" spans="1:20" x14ac:dyDescent="0.45">
      <c r="A10" s="90" t="s">
        <v>407</v>
      </c>
      <c r="B10" s="90" t="s">
        <v>90</v>
      </c>
      <c r="C10" s="90" t="s">
        <v>85</v>
      </c>
      <c r="D10" s="90" t="s">
        <v>85</v>
      </c>
      <c r="E10" s="90" t="s">
        <v>85</v>
      </c>
      <c r="F10" s="90" t="s">
        <v>85</v>
      </c>
      <c r="G10" s="90" t="s">
        <v>85</v>
      </c>
      <c r="H10" s="90" t="s">
        <v>61</v>
      </c>
      <c r="I10" s="100" t="s">
        <v>85</v>
      </c>
      <c r="J10" s="91" t="s">
        <v>408</v>
      </c>
      <c r="K10" s="99" t="s">
        <v>59</v>
      </c>
      <c r="L10" s="90" t="s">
        <v>59</v>
      </c>
      <c r="M10" s="90" t="s">
        <v>59</v>
      </c>
      <c r="N10" s="90" t="s">
        <v>59</v>
      </c>
      <c r="O10" s="90" t="s">
        <v>59</v>
      </c>
      <c r="P10" s="92" t="s">
        <v>409</v>
      </c>
      <c r="Q10" s="93"/>
      <c r="R10" s="94"/>
      <c r="S10" s="95"/>
      <c r="T10" s="96"/>
    </row>
    <row r="11" spans="1:20" x14ac:dyDescent="0.45">
      <c r="A11" s="63" t="s">
        <v>465</v>
      </c>
      <c r="B11" s="63" t="s">
        <v>419</v>
      </c>
      <c r="C11" s="63" t="s">
        <v>85</v>
      </c>
      <c r="D11" s="63" t="s">
        <v>85</v>
      </c>
      <c r="E11" s="63" t="s">
        <v>85</v>
      </c>
      <c r="F11" s="63" t="s">
        <v>85</v>
      </c>
      <c r="G11" s="63" t="s">
        <v>85</v>
      </c>
      <c r="H11" s="63" t="s">
        <v>120</v>
      </c>
      <c r="I11" s="63" t="s">
        <v>224</v>
      </c>
      <c r="J11" s="77" t="s">
        <v>410</v>
      </c>
      <c r="K11" s="63" t="s">
        <v>58</v>
      </c>
      <c r="L11" s="63" t="s">
        <v>59</v>
      </c>
      <c r="M11" s="63" t="s">
        <v>58</v>
      </c>
      <c r="N11" s="63" t="s">
        <v>59</v>
      </c>
      <c r="O11" s="63" t="s">
        <v>59</v>
      </c>
      <c r="P11" s="64" t="s">
        <v>411</v>
      </c>
      <c r="Q11" s="65"/>
      <c r="R11" s="66"/>
      <c r="S11" s="67"/>
      <c r="T11" s="68"/>
    </row>
    <row r="12" spans="1:20" x14ac:dyDescent="0.45">
      <c r="I12" s="89"/>
    </row>
    <row r="13" spans="1:20" x14ac:dyDescent="0.45">
      <c r="A13" s="155"/>
      <c r="B13" s="131"/>
      <c r="C13" s="132"/>
    </row>
    <row r="14" spans="1:20" x14ac:dyDescent="0.45">
      <c r="A14" s="17"/>
      <c r="B14" s="16"/>
      <c r="C14" s="18"/>
      <c r="E14" s="89"/>
    </row>
    <row r="15" spans="1:20" ht="39" customHeight="1" x14ac:dyDescent="0.45">
      <c r="A15" s="14"/>
      <c r="B15" s="15"/>
      <c r="C15" s="38"/>
      <c r="F15" s="89"/>
    </row>
    <row r="17" spans="1:18" x14ac:dyDescent="0.45">
      <c r="A17" s="145"/>
      <c r="B17" s="136"/>
      <c r="C17" s="134"/>
      <c r="D17" s="135"/>
      <c r="E17" s="135"/>
      <c r="F17" s="136"/>
      <c r="G17" s="134"/>
      <c r="H17" s="131"/>
      <c r="I17" s="132"/>
      <c r="J17" s="134"/>
      <c r="K17" s="131"/>
      <c r="L17" s="131"/>
      <c r="M17" s="131"/>
      <c r="N17" s="132"/>
      <c r="O17" s="134"/>
      <c r="P17" s="132"/>
      <c r="Q17" s="134" t="s">
        <v>71</v>
      </c>
      <c r="R17" s="132"/>
    </row>
    <row r="18" spans="1:18" x14ac:dyDescent="0.45">
      <c r="A18" s="146"/>
      <c r="B18" s="139"/>
      <c r="C18" s="137"/>
      <c r="D18" s="138"/>
      <c r="E18" s="138"/>
      <c r="F18" s="139"/>
      <c r="G18" s="19" t="s">
        <v>72</v>
      </c>
      <c r="H18" s="19" t="s">
        <v>73</v>
      </c>
      <c r="I18" s="19" t="s">
        <v>3</v>
      </c>
      <c r="J18" s="19" t="s">
        <v>40</v>
      </c>
      <c r="K18" s="154" t="s">
        <v>3</v>
      </c>
      <c r="L18" s="141"/>
      <c r="M18" s="141"/>
      <c r="N18" s="142"/>
      <c r="O18" s="19" t="s">
        <v>74</v>
      </c>
      <c r="P18" s="19" t="s">
        <v>3</v>
      </c>
      <c r="Q18" s="19" t="s">
        <v>75</v>
      </c>
      <c r="R18" s="25" t="s">
        <v>76</v>
      </c>
    </row>
    <row r="19" spans="1:18" ht="47.25" customHeight="1" x14ac:dyDescent="0.45">
      <c r="A19" s="158"/>
      <c r="B19" s="142"/>
      <c r="C19" s="140"/>
      <c r="D19" s="141"/>
      <c r="E19" s="141"/>
      <c r="F19" s="142"/>
      <c r="G19" s="46"/>
      <c r="H19" s="44"/>
      <c r="I19" s="45"/>
      <c r="J19" s="39"/>
      <c r="K19" s="144"/>
      <c r="L19" s="141"/>
      <c r="M19" s="141"/>
      <c r="N19" s="142"/>
      <c r="O19" s="23"/>
      <c r="P19" s="24"/>
      <c r="Q19" s="24"/>
      <c r="R19" s="27"/>
    </row>
    <row r="20" spans="1:18" ht="27.75" customHeight="1" x14ac:dyDescent="0.45">
      <c r="A20" s="158"/>
      <c r="B20" s="142"/>
      <c r="C20" s="140"/>
      <c r="D20" s="141"/>
      <c r="E20" s="141"/>
      <c r="F20" s="142"/>
      <c r="G20" s="46"/>
      <c r="H20" s="44"/>
      <c r="I20" s="45"/>
      <c r="J20" s="39"/>
      <c r="K20" s="144"/>
      <c r="L20" s="141"/>
      <c r="M20" s="141"/>
      <c r="N20" s="142"/>
      <c r="O20" s="23"/>
      <c r="P20" s="24"/>
      <c r="Q20" s="24"/>
      <c r="R20" s="27"/>
    </row>
    <row r="21" spans="1:18" ht="27.75" customHeight="1" x14ac:dyDescent="0.45">
      <c r="A21" s="158"/>
      <c r="B21" s="142"/>
      <c r="C21" s="140"/>
      <c r="D21" s="141"/>
      <c r="E21" s="141"/>
      <c r="F21" s="142"/>
      <c r="G21" s="46"/>
      <c r="H21" s="44"/>
      <c r="I21" s="45"/>
      <c r="J21" s="39"/>
      <c r="K21" s="144"/>
      <c r="L21" s="141"/>
      <c r="M21" s="141"/>
      <c r="N21" s="142"/>
      <c r="O21" s="23"/>
      <c r="P21" s="24"/>
      <c r="Q21" s="24"/>
      <c r="R21" s="27"/>
    </row>
  </sheetData>
  <mergeCells count="20">
    <mergeCell ref="Q17:R17"/>
    <mergeCell ref="A19:B19"/>
    <mergeCell ref="B3:P3"/>
    <mergeCell ref="C21:F21"/>
    <mergeCell ref="G17:I17"/>
    <mergeCell ref="A21:B21"/>
    <mergeCell ref="A13:C13"/>
    <mergeCell ref="C17:F18"/>
    <mergeCell ref="K21:N21"/>
    <mergeCell ref="A1:P1"/>
    <mergeCell ref="C20:F20"/>
    <mergeCell ref="K20:N20"/>
    <mergeCell ref="A20:B20"/>
    <mergeCell ref="O17:P17"/>
    <mergeCell ref="J17:N17"/>
    <mergeCell ref="B2:P2"/>
    <mergeCell ref="C19:F19"/>
    <mergeCell ref="A17:B18"/>
    <mergeCell ref="K19:N19"/>
    <mergeCell ref="K18:N18"/>
  </mergeCells>
  <hyperlinks>
    <hyperlink ref="A1" location="'Listado Objetos de Dominio'!A1" display="&lt;-Volver al inicio" xr:uid="{00000000-0004-0000-0E00-000000000000}"/>
    <hyperlink ref="Q4" location="'Objeto Dominio N'!A16" display="'Objeto Dominio N'!A16" xr:uid="{00000000-0004-0000-0E00-000001000000}"/>
    <hyperlink ref="R4" location="'Objeto Dominio 1'!A17" display="'Objeto Dominio 1'!A17" xr:uid="{00000000-0004-0000-0E00-000002000000}"/>
    <hyperlink ref="S4" location="'Objeto Dominio 1'!A18" display="'Objeto Dominio 1'!A18" xr:uid="{00000000-0004-0000-0E00-000003000000}"/>
    <hyperlink ref="T4" location="'Objeto Dominio 1'!A19" display="'Objeto Dominio 1'!A19" xr:uid="{00000000-0004-0000-0E00-000004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Modelo dominio anémico contexto</vt:lpstr>
      <vt:lpstr>Listado Objetos de Dominio</vt:lpstr>
      <vt:lpstr>Valores</vt:lpstr>
      <vt:lpstr>Departamento</vt:lpstr>
      <vt:lpstr>Usuario</vt:lpstr>
      <vt:lpstr>Ciudad</vt:lpstr>
      <vt:lpstr>Negocio</vt:lpstr>
      <vt:lpstr>Sede</vt:lpstr>
      <vt:lpstr>Colaborador</vt:lpstr>
      <vt:lpstr>Solicitud Cotizacion</vt:lpstr>
      <vt:lpstr>Producto</vt:lpstr>
      <vt:lpstr>Cotizacion</vt:lpstr>
      <vt:lpstr>Notificación</vt:lpstr>
      <vt:lpstr>Plan de suscripción</vt:lpstr>
      <vt:lpstr>Transacción de 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Sánchez Arias</dc:creator>
  <cp:lastModifiedBy>Kevin Stiven Montoya Prada</cp:lastModifiedBy>
  <dcterms:created xsi:type="dcterms:W3CDTF">2023-03-15T04:00:09Z</dcterms:created>
  <dcterms:modified xsi:type="dcterms:W3CDTF">2026-03-16T19:45:10Z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0x0101001945CC36234B18439988D70FCB761011</vt:lpwstr>
  </property>
  <property fmtid="{D5CDD505-2E9C-101B-9397-08002B2CF9AE}" pid="12" name="MediaServiceImageTags">
    <vt:lpwstr/>
  </property>
</Properties>
</file>