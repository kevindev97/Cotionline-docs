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NG. SISTEMAS\PROYECTO DE GRADO\MARKDOWN\Cotionline-docs\Plantillas\"/>
    </mc:Choice>
  </mc:AlternateContent>
  <xr:revisionPtr revIDLastSave="0" documentId="13_ncr:1_{DEB71722-FCB2-4706-AA24-4C9713FB0127}" xr6:coauthVersionLast="47" xr6:coauthVersionMax="47" xr10:uidLastSave="{00000000-0000-0000-0000-000000000000}"/>
  <bookViews>
    <workbookView xWindow="-98" yWindow="-98" windowWidth="21795" windowHeight="12975" firstSheet="3" activeTab="3" xr2:uid="{36012E7C-B3F4-482B-AC16-7CCB81B9AE88}"/>
  </bookViews>
  <sheets>
    <sheet name="Modelo dominio anémico contexto" sheetId="61" r:id="rId1"/>
    <sheet name="Listado Objetos de Dominio" sheetId="67" r:id="rId2"/>
    <sheet name="Valores" sheetId="69" r:id="rId3"/>
    <sheet name="Cliente" sheetId="66" r:id="rId4"/>
    <sheet name="Negocio" sheetId="24" r:id="rId5"/>
    <sheet name="Solicitud cotizacion" sheetId="68" r:id="rId6"/>
    <sheet name="Cotizacion" sheetId="70" r:id="rId7"/>
  </sheets>
  <definedNames>
    <definedName name="_xlnm._FilterDatabase" localSheetId="1" hidden="1">'Listado Objetos de Dominio'!$A$2:$B$5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0" l="1"/>
  <c r="B2" i="70"/>
  <c r="T4" i="70"/>
  <c r="S4" i="70"/>
  <c r="R4" i="70"/>
  <c r="Q4" i="70"/>
  <c r="B3" i="68"/>
  <c r="B2" i="68"/>
  <c r="T4" i="68"/>
  <c r="S4" i="68"/>
  <c r="R4" i="68"/>
  <c r="Q4" i="68"/>
  <c r="B3" i="24"/>
  <c r="B2" i="24"/>
  <c r="T4" i="24"/>
  <c r="S4" i="24"/>
  <c r="R4" i="24"/>
  <c r="Q4" i="24"/>
  <c r="T4" i="66"/>
  <c r="S4" i="66"/>
  <c r="R4" i="66"/>
  <c r="B3" i="66"/>
  <c r="B2" i="66"/>
  <c r="Q4" i="66"/>
</calcChain>
</file>

<file path=xl/sharedStrings.xml><?xml version="1.0" encoding="utf-8"?>
<sst xmlns="http://schemas.openxmlformats.org/spreadsheetml/2006/main" count="347" uniqueCount="141">
  <si>
    <t>Subdominio/Contexto:</t>
  </si>
  <si>
    <t>Proveedor</t>
  </si>
  <si>
    <t>Nombre</t>
  </si>
  <si>
    <t>Descripción</t>
  </si>
  <si>
    <t>Tipo</t>
  </si>
  <si>
    <t>Contexto</t>
  </si>
  <si>
    <t>Cliente</t>
  </si>
  <si>
    <t>Describe al usuario que recibe las solicitudes y envía la cotización de los productos al cliente</t>
  </si>
  <si>
    <t>Referenciado</t>
  </si>
  <si>
    <t>Negocio</t>
  </si>
  <si>
    <t>Se refiere al negocio que ha registrado el proovedor en la aplicación</t>
  </si>
  <si>
    <t xml:space="preserve">Solicitud cotización </t>
  </si>
  <si>
    <t>Se refiere al documento que diligencia el cliente solicitando la cotización de ciertos productos y es recibida por el proveedor para su respectiva respuesta</t>
  </si>
  <si>
    <t>Cotización</t>
  </si>
  <si>
    <t>Se refiere a la respuesta que da el proveedor a la solicitud de cotización del cliente</t>
  </si>
  <si>
    <t>Propio</t>
  </si>
  <si>
    <t>Tipo Objeto Dominio</t>
  </si>
  <si>
    <t>Cuando el objeto de dominio es parte del contexto actual</t>
  </si>
  <si>
    <t>Cuando el objeto de dominio es parte de otro contexto</t>
  </si>
  <si>
    <t>&lt;-Volver al inicio</t>
  </si>
  <si>
    <t>Objeto de Dominio:</t>
  </si>
  <si>
    <t>Descripción:</t>
  </si>
  <si>
    <t>Atributo</t>
  </si>
  <si>
    <t>Tipo de Dato</t>
  </si>
  <si>
    <t>Longitud mínima</t>
  </si>
  <si>
    <t>Longitud máxima</t>
  </si>
  <si>
    <t>Precisión</t>
  </si>
  <si>
    <t>Rango Inicial</t>
  </si>
  <si>
    <t>Rango Final</t>
  </si>
  <si>
    <t>Formato</t>
  </si>
  <si>
    <t>Valor por defecto</t>
  </si>
  <si>
    <t>Regla especial</t>
  </si>
  <si>
    <t>¿Auto generado?</t>
  </si>
  <si>
    <t>¿Calculado?</t>
  </si>
  <si>
    <t>¿Obligatorio?</t>
  </si>
  <si>
    <t>¿Sensible?</t>
  </si>
  <si>
    <t>¿Identifica al registro?</t>
  </si>
  <si>
    <t>Identificacion</t>
  </si>
  <si>
    <t>Alfanumerico</t>
  </si>
  <si>
    <t>Letras y numeros</t>
  </si>
  <si>
    <t>Si</t>
  </si>
  <si>
    <t>No</t>
  </si>
  <si>
    <t>Texto</t>
  </si>
  <si>
    <t>Letras y espacios</t>
  </si>
  <si>
    <t>Nombre del cliente</t>
  </si>
  <si>
    <t>Apellido</t>
  </si>
  <si>
    <t>Apellido del cliente</t>
  </si>
  <si>
    <t>Correo</t>
  </si>
  <si>
    <t>Debe contener el caracter "@" para ser valido</t>
  </si>
  <si>
    <t>Correo electronico del cliente</t>
  </si>
  <si>
    <t>Contraseña</t>
  </si>
  <si>
    <t>Contraseña que asigna el cliente para acceder a la aplicación</t>
  </si>
  <si>
    <t>Ciudad</t>
  </si>
  <si>
    <t>Aplica la regla de negocio establecida en el dominio de Ciudad</t>
  </si>
  <si>
    <t>Nombre combinación</t>
  </si>
  <si>
    <t>Atributos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</si>
  <si>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</si>
  <si>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</si>
  <si>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</si>
  <si>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</si>
  <si>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</si>
  <si>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</si>
  <si>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</si>
  <si>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Política</t>
  </si>
  <si>
    <t>Detalle</t>
  </si>
  <si>
    <t>¿Qué hago?</t>
  </si>
  <si>
    <t>Registrar</t>
  </si>
  <si>
    <t>Servicio de negocio que permite registrar un cliente a la aplicacion</t>
  </si>
  <si>
    <t>Actualizar datos</t>
  </si>
  <si>
    <t xml:space="preserve">Servicio de negocio que permite editar/actualizar   la informacion del cliente </t>
  </si>
  <si>
    <t>Consultar</t>
  </si>
  <si>
    <t>Servicio de negocio que permite consultar la información del cliente</t>
  </si>
  <si>
    <t>Eliminar</t>
  </si>
  <si>
    <t>Servicio de negocio que permite eliminar la cuenta e información del cliente</t>
  </si>
  <si>
    <t>Login</t>
  </si>
  <si>
    <t>Servicio que permite al cliente iniciar sesión</t>
  </si>
  <si>
    <t>Adquirir plan de suscripción</t>
  </si>
  <si>
    <t>Servicio que permite al cliente elegir uno de los planes de pago para acceder a todas las funciones de la aplicación</t>
  </si>
  <si>
    <t>Realiza solicitud de cotizacion</t>
  </si>
  <si>
    <t>Servicio de negocio que permite al cliente realizar una solicitud de cotizacion de diferentes productos a los proveedores</t>
  </si>
  <si>
    <t>Invitar colaborador</t>
  </si>
  <si>
    <t>Servicio de negocio que permite al cliente invitar a un usuario externo para solicitar la ayuda en la realización y análisis de las cotizaciones</t>
  </si>
  <si>
    <t>Aceptar cotizacion</t>
  </si>
  <si>
    <t>Servicio que permite al cliente realizar la confirmación y aceptación de la cotizacion enviada por el proveedor</t>
  </si>
  <si>
    <t>Numero de identificación del negocio, el cual es único</t>
  </si>
  <si>
    <t xml:space="preserve">Nombre del negocio </t>
  </si>
  <si>
    <t>Descripcion</t>
  </si>
  <si>
    <t>Descripcion breve del negocio</t>
  </si>
  <si>
    <t>Direccion</t>
  </si>
  <si>
    <t>Direccion de ubicacion del negocio</t>
  </si>
  <si>
    <t>Aplican las reglas establecidad en la entidad Cliente</t>
  </si>
  <si>
    <t>Combinaciones únicas</t>
  </si>
  <si>
    <t xml:space="preserve">Servicio de negocio que permite editar/actualizar   la informacion del negocio que pertenece al cliente </t>
  </si>
  <si>
    <t xml:space="preserve"> </t>
  </si>
  <si>
    <t>Servicio de negocio que permite actualizar los datos del negocio de un cliente</t>
  </si>
  <si>
    <t>Servicio de negocio que permite consultar un negocio existente en el sistema</t>
  </si>
  <si>
    <t>Servicio de negocio que permite dar de baja a un negocio existente</t>
  </si>
  <si>
    <t>Codigo</t>
  </si>
  <si>
    <t>Numero de identificación de la solicitud de cotizacion, el cual es único</t>
  </si>
  <si>
    <t>Fecha de creacion</t>
  </si>
  <si>
    <t>Fecha de creacion de la solicitud de cotizacion</t>
  </si>
  <si>
    <t>Fecha limite de respuesta</t>
  </si>
  <si>
    <t>Fecha limite de respuesta de la solicitud de cotizacion</t>
  </si>
  <si>
    <t>Estado de solicitud</t>
  </si>
  <si>
    <t>Pendiente</t>
  </si>
  <si>
    <t>Estado de la solicitud de cotizacion</t>
  </si>
  <si>
    <t>Aplica la regla de negocio establecida en el dominio de Cliente</t>
  </si>
  <si>
    <t>Sede</t>
  </si>
  <si>
    <t>Aplica la regla de negocio establecida en el dominio de Sede</t>
  </si>
  <si>
    <t>Producto</t>
  </si>
  <si>
    <t>Aplica la regla de negocio establecida en el dominio de Producto</t>
  </si>
  <si>
    <t>crear</t>
  </si>
  <si>
    <t>Servicio de negocio que permite crear una nueva solicitud de cotización</t>
  </si>
  <si>
    <t>editar</t>
  </si>
  <si>
    <t>Servicio que permite editar la información de una solicitud existente</t>
  </si>
  <si>
    <t>consultar</t>
  </si>
  <si>
    <t>Servicio que permite consultar las solicitudes de cotizacion realizadas y sus estados</t>
  </si>
  <si>
    <t>eliminar</t>
  </si>
  <si>
    <t>servicio que permite eliminar una solicitud de cotizacion existente</t>
  </si>
  <si>
    <t>Publicar</t>
  </si>
  <si>
    <t>Servicio que permite publicar una cotización en la plataforma para ser vista por los proveedores</t>
  </si>
  <si>
    <t>Numero entero</t>
  </si>
  <si>
    <t>Numero de identificación del producto, el cual es único</t>
  </si>
  <si>
    <t>Fecha de emision</t>
  </si>
  <si>
    <t>Fecha</t>
  </si>
  <si>
    <t>Fecha en que se genera la cotizacion</t>
  </si>
  <si>
    <t>Fecha de expiracion</t>
  </si>
  <si>
    <t>Fecha limite hasta la cual la cotizacion es valida</t>
  </si>
  <si>
    <t>Breve descripcion de la cotizacion en la que se incluye informacion sobre descuentos, metodos de pago</t>
  </si>
  <si>
    <t>Tiempo de entrega</t>
  </si>
  <si>
    <t>Fecha en que se entregarian los productos solicitados al cliente</t>
  </si>
  <si>
    <t>Solicitud de cotizacion</t>
  </si>
  <si>
    <t>Aplica la regla de negocio establecida en el dominio de Solicitud de cotizacion</t>
  </si>
  <si>
    <t>Crear cotización</t>
  </si>
  <si>
    <t>Servicio que permite crear una cotización a partir de una solicitud de cotización</t>
  </si>
  <si>
    <t>Servicio que permite consultar las cotizaciones existentes</t>
  </si>
  <si>
    <t>Editar</t>
  </si>
  <si>
    <t>Servicio que permite editar una cotización existente</t>
  </si>
  <si>
    <t>Id</t>
  </si>
  <si>
    <t>Letras, números y simbolos</t>
  </si>
  <si>
    <t>Id del cliente, el cual es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</si>
</sst>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0" fillId="4" borderId="0" xfId="0" applyFill="1"/>
    <xf numFmtId="0" fontId="5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quotePrefix="1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quotePrefix="1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2" fillId="6" borderId="1" xfId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3" fillId="5" borderId="3" xfId="1" applyFont="1" applyFill="1" applyBorder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2" fillId="8" borderId="9" xfId="2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2" fillId="10" borderId="1" xfId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1" applyFill="1" applyBorder="1" applyAlignment="1">
      <alignment horizontal="left" vertical="center"/>
    </xf>
    <xf numFmtId="0" fontId="6" fillId="6" borderId="5" xfId="2" applyFont="1" applyFill="1" applyBorder="1" applyAlignment="1">
      <alignment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9" xfId="0" applyFill="1" applyBorder="1"/>
    <xf numFmtId="0" fontId="1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6" borderId="12" xfId="0" applyFill="1" applyBorder="1" applyAlignment="1">
      <alignment vertical="center" wrapText="1"/>
    </xf>
    <xf numFmtId="0" fontId="6" fillId="6" borderId="12" xfId="2" applyFont="1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6" fillId="6" borderId="13" xfId="2" applyFont="1" applyFill="1" applyBorder="1" applyAlignment="1">
      <alignment vertical="center"/>
    </xf>
    <xf numFmtId="0" fontId="0" fillId="6" borderId="14" xfId="0" applyFill="1" applyBorder="1" applyAlignment="1">
      <alignment vertical="center" wrapText="1"/>
    </xf>
    <xf numFmtId="0" fontId="0" fillId="6" borderId="15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4" fillId="7" borderId="13" xfId="0" applyFont="1" applyFill="1" applyBorder="1" applyAlignment="1">
      <alignment vertical="center"/>
    </xf>
    <xf numFmtId="0" fontId="4" fillId="7" borderId="15" xfId="0" applyFont="1" applyFill="1" applyBorder="1" applyAlignment="1">
      <alignment vertical="center"/>
    </xf>
    <xf numFmtId="0" fontId="4" fillId="7" borderId="15" xfId="0" quotePrefix="1" applyFont="1" applyFill="1" applyBorder="1" applyAlignment="1">
      <alignment vertical="center"/>
    </xf>
    <xf numFmtId="0" fontId="4" fillId="7" borderId="15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vertical="center"/>
    </xf>
    <xf numFmtId="0" fontId="4" fillId="7" borderId="12" xfId="0" quotePrefix="1" applyFont="1" applyFill="1" applyBorder="1" applyAlignment="1">
      <alignment vertical="center"/>
    </xf>
    <xf numFmtId="0" fontId="4" fillId="7" borderId="12" xfId="0" applyFont="1" applyFill="1" applyBorder="1" applyAlignment="1">
      <alignment vertical="center" wrapText="1"/>
    </xf>
    <xf numFmtId="0" fontId="4" fillId="7" borderId="12" xfId="0" quotePrefix="1" applyFont="1" applyFill="1" applyBorder="1" applyAlignment="1">
      <alignment vertical="center" wrapText="1"/>
    </xf>
    <xf numFmtId="0" fontId="4" fillId="7" borderId="17" xfId="0" applyFont="1" applyFill="1" applyBorder="1" applyAlignment="1">
      <alignment vertical="center"/>
    </xf>
    <xf numFmtId="0" fontId="4" fillId="7" borderId="18" xfId="0" applyFont="1" applyFill="1" applyBorder="1" applyAlignment="1">
      <alignment vertical="center"/>
    </xf>
    <xf numFmtId="0" fontId="4" fillId="7" borderId="18" xfId="0" quotePrefix="1" applyFont="1" applyFill="1" applyBorder="1" applyAlignment="1">
      <alignment vertical="center"/>
    </xf>
    <xf numFmtId="0" fontId="4" fillId="7" borderId="18" xfId="0" applyFont="1" applyFill="1" applyBorder="1" applyAlignment="1">
      <alignment vertical="center" wrapText="1"/>
    </xf>
    <xf numFmtId="0" fontId="4" fillId="7" borderId="14" xfId="0" applyFont="1" applyFill="1" applyBorder="1" applyAlignment="1">
      <alignment vertical="center"/>
    </xf>
    <xf numFmtId="0" fontId="4" fillId="7" borderId="14" xfId="0" quotePrefix="1" applyFont="1" applyFill="1" applyBorder="1" applyAlignment="1">
      <alignment vertical="center" wrapText="1"/>
    </xf>
    <xf numFmtId="0" fontId="4" fillId="7" borderId="14" xfId="0" applyFont="1" applyFill="1" applyBorder="1" applyAlignment="1">
      <alignment vertical="center" wrapText="1"/>
    </xf>
    <xf numFmtId="0" fontId="4" fillId="7" borderId="19" xfId="0" applyFont="1" applyFill="1" applyBorder="1" applyAlignment="1">
      <alignment vertical="center"/>
    </xf>
    <xf numFmtId="0" fontId="4" fillId="7" borderId="20" xfId="0" applyFont="1" applyFill="1" applyBorder="1" applyAlignment="1">
      <alignment vertical="center"/>
    </xf>
    <xf numFmtId="0" fontId="4" fillId="7" borderId="21" xfId="0" applyFont="1" applyFill="1" applyBorder="1" applyAlignment="1">
      <alignment vertical="center"/>
    </xf>
    <xf numFmtId="0" fontId="4" fillId="7" borderId="22" xfId="0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4" fillId="7" borderId="0" xfId="0" quotePrefix="1" applyFont="1" applyFill="1" applyAlignment="1">
      <alignment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2" fillId="3" borderId="12" xfId="1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2" fillId="0" borderId="0" xfId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6" borderId="5" xfId="1" applyFill="1" applyBorder="1" applyAlignment="1">
      <alignment horizontal="left" vertical="center"/>
    </xf>
    <xf numFmtId="0" fontId="2" fillId="6" borderId="1" xfId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3" xfId="1" applyFill="1" applyBorder="1" applyAlignment="1">
      <alignment horizontal="left" vertical="center" wrapText="1"/>
    </xf>
    <xf numFmtId="0" fontId="2" fillId="3" borderId="15" xfId="1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10" borderId="10" xfId="1" applyFill="1" applyBorder="1" applyAlignment="1">
      <alignment horizontal="left" vertical="center"/>
    </xf>
    <xf numFmtId="0" fontId="2" fillId="10" borderId="11" xfId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5" borderId="5" xfId="1" applyFill="1" applyBorder="1" applyAlignment="1">
      <alignment horizontal="left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2" fillId="10" borderId="26" xfId="1" applyFill="1" applyBorder="1" applyAlignment="1">
      <alignment horizontal="left" vertical="center"/>
    </xf>
    <xf numFmtId="0" fontId="2" fillId="10" borderId="25" xfId="1" applyFill="1" applyBorder="1" applyAlignment="1">
      <alignment horizontal="left" vertical="center"/>
    </xf>
    <xf numFmtId="0" fontId="0" fillId="10" borderId="23" xfId="0" applyFill="1" applyBorder="1" applyAlignment="1">
      <alignment horizontal="center" vertical="center" wrapText="1"/>
    </xf>
    <xf numFmtId="0" fontId="0" fillId="10" borderId="24" xfId="0" applyFill="1" applyBorder="1" applyAlignment="1">
      <alignment horizontal="center" vertical="center" wrapText="1"/>
    </xf>
    <xf numFmtId="0" fontId="0" fillId="10" borderId="25" xfId="0" applyFill="1" applyBorder="1" applyAlignment="1">
      <alignment horizontal="center" vertical="center" wrapText="1"/>
    </xf>
    <xf numFmtId="0" fontId="2" fillId="3" borderId="26" xfId="1" applyFill="1" applyBorder="1" applyAlignment="1">
      <alignment horizontal="left" vertical="center" wrapText="1"/>
    </xf>
    <xf numFmtId="0" fontId="2" fillId="3" borderId="25" xfId="1" applyFill="1" applyBorder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2" fillId="5" borderId="26" xfId="1" applyFill="1" applyBorder="1" applyAlignment="1">
      <alignment horizontal="left" vertical="center"/>
    </xf>
    <xf numFmtId="0" fontId="2" fillId="5" borderId="25" xfId="1" applyFill="1" applyBorder="1" applyAlignment="1">
      <alignment horizontal="left" vertical="center"/>
    </xf>
    <xf numFmtId="0" fontId="0" fillId="5" borderId="2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2" fillId="5" borderId="27" xfId="1" applyFill="1" applyBorder="1" applyAlignment="1">
      <alignment horizontal="left" vertical="center"/>
    </xf>
    <xf numFmtId="0" fontId="0" fillId="5" borderId="27" xfId="0" applyFill="1" applyBorder="1" applyAlignment="1">
      <alignment horizontal="left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2</xdr:row>
      <xdr:rowOff>142875</xdr:rowOff>
    </xdr:from>
    <xdr:to>
      <xdr:col>10</xdr:col>
      <xdr:colOff>200025</xdr:colOff>
      <xdr:row>25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E8984E-CD9A-0085-136E-D283FA836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523875"/>
          <a:ext cx="6324600" cy="432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"/>
  <sheetViews>
    <sheetView topLeftCell="A11" zoomScale="85" zoomScaleNormal="85" workbookViewId="0">
      <selection activeCell="M15" sqref="M15"/>
    </sheetView>
  </sheetViews>
  <sheetFormatPr baseColWidth="10" defaultColWidth="11.3984375" defaultRowHeight="14.25" x14ac:dyDescent="0.45"/>
  <cols>
    <col min="1" max="16384" width="11.3984375" style="3"/>
  </cols>
  <sheetData>
    <row r="1" spans="1:1" x14ac:dyDescent="0.45">
      <c r="A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D6"/>
  <sheetViews>
    <sheetView zoomScaleNormal="100" workbookViewId="0">
      <pane ySplit="2" topLeftCell="A3" activePane="bottomLeft" state="frozen"/>
      <selection pane="bottomLeft" activeCell="A3" sqref="A3"/>
    </sheetView>
  </sheetViews>
  <sheetFormatPr baseColWidth="10" defaultColWidth="11.3984375" defaultRowHeight="14.25" x14ac:dyDescent="0.45"/>
  <cols>
    <col min="1" max="1" width="21.59765625" style="1" bestFit="1" customWidth="1"/>
    <col min="2" max="2" width="56.265625" style="1" bestFit="1" customWidth="1"/>
    <col min="3" max="3" width="12.3984375" style="1" bestFit="1" customWidth="1"/>
    <col min="4" max="16384" width="11.3984375" style="1"/>
  </cols>
  <sheetData>
    <row r="1" spans="1:4" x14ac:dyDescent="0.45">
      <c r="A1" s="58" t="s">
        <v>0</v>
      </c>
      <c r="B1" s="94" t="s">
        <v>1</v>
      </c>
      <c r="C1" s="94"/>
      <c r="D1" s="95"/>
    </row>
    <row r="2" spans="1:4" x14ac:dyDescent="0.45">
      <c r="A2" s="59" t="s">
        <v>2</v>
      </c>
      <c r="B2" s="57" t="s">
        <v>3</v>
      </c>
      <c r="C2" s="57" t="s">
        <v>4</v>
      </c>
      <c r="D2" s="60" t="s">
        <v>5</v>
      </c>
    </row>
    <row r="3" spans="1:4" ht="28.5" x14ac:dyDescent="0.45">
      <c r="A3" s="50" t="s">
        <v>6</v>
      </c>
      <c r="B3" s="61" t="s">
        <v>7</v>
      </c>
      <c r="C3" s="20" t="s">
        <v>8</v>
      </c>
      <c r="D3" s="26" t="s">
        <v>6</v>
      </c>
    </row>
    <row r="4" spans="1:4" x14ac:dyDescent="0.45">
      <c r="A4" s="50" t="s">
        <v>9</v>
      </c>
      <c r="B4" s="61" t="s">
        <v>10</v>
      </c>
      <c r="C4" s="20" t="s">
        <v>8</v>
      </c>
      <c r="D4" s="26" t="s">
        <v>6</v>
      </c>
    </row>
    <row r="5" spans="1:4" ht="42.75" x14ac:dyDescent="0.45">
      <c r="A5" s="64" t="s">
        <v>11</v>
      </c>
      <c r="B5" s="65" t="s">
        <v>12</v>
      </c>
      <c r="C5" s="66" t="s">
        <v>8</v>
      </c>
      <c r="D5" s="67" t="s">
        <v>6</v>
      </c>
    </row>
    <row r="6" spans="1:4" ht="28.5" x14ac:dyDescent="0.45">
      <c r="A6" s="62" t="s">
        <v>13</v>
      </c>
      <c r="B6" s="61" t="s">
        <v>14</v>
      </c>
      <c r="C6" s="63" t="s">
        <v>15</v>
      </c>
      <c r="D6" s="63" t="s">
        <v>1</v>
      </c>
    </row>
  </sheetData>
  <mergeCells count="1">
    <mergeCell ref="B1:D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D8691D-32B3-4891-8170-D76C3B8F74BD}">
          <x14:formula1>
            <xm:f>Valores!$A$3:$A$4</xm:f>
          </x14:formula1>
          <xm:sqref>C3:C6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CB1A-ACAF-48CA-A6AD-4DD0D3A676EA}">
  <dimension ref="A1:B4"/>
  <sheetViews>
    <sheetView workbookViewId="0">
      <selection activeCell="B9" sqref="B9"/>
    </sheetView>
  </sheetViews>
  <sheetFormatPr baseColWidth="10" defaultColWidth="11.3984375" defaultRowHeight="14.25" x14ac:dyDescent="0.45"/>
  <cols>
    <col min="1" max="1" width="12.86328125" bestFit="1" customWidth="1"/>
    <col min="2" max="2" width="52.73046875" bestFit="1" customWidth="1"/>
  </cols>
  <sheetData>
    <row r="1" spans="1:2" x14ac:dyDescent="0.45">
      <c r="A1" s="96" t="s">
        <v>16</v>
      </c>
      <c r="B1" s="97"/>
    </row>
    <row r="2" spans="1:2" x14ac:dyDescent="0.45">
      <c r="A2" s="51" t="s">
        <v>4</v>
      </c>
      <c r="B2" s="52" t="s">
        <v>3</v>
      </c>
    </row>
    <row r="3" spans="1:2" x14ac:dyDescent="0.45">
      <c r="A3" s="53" t="s">
        <v>15</v>
      </c>
      <c r="B3" s="54" t="s">
        <v>17</v>
      </c>
    </row>
    <row r="4" spans="1:2" ht="14.65" thickBot="1" x14ac:dyDescent="0.5">
      <c r="A4" s="55" t="s">
        <v>8</v>
      </c>
      <c r="B4" s="56" t="s">
        <v>18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A608-57CC-45B0-8234-10CA49C3B004}">
  <dimension ref="A1:T24"/>
  <sheetViews>
    <sheetView tabSelected="1" zoomScale="85" zoomScaleNormal="85" workbookViewId="0">
      <selection activeCell="B5" sqref="B5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20.6640625" style="1" bestFit="1" customWidth="1"/>
    <col min="9" max="9" width="79.265625" style="1" bestFit="1" customWidth="1"/>
    <col min="10" max="10" width="18.13281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00" t="s">
        <v>19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spans="1:20" x14ac:dyDescent="0.45">
      <c r="A2" s="4" t="s">
        <v>20</v>
      </c>
      <c r="B2" s="101" t="str">
        <f>'Listado Objetos de Dominio'!$A$3</f>
        <v>Cliente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</row>
    <row r="3" spans="1:20" x14ac:dyDescent="0.45">
      <c r="A3" s="4" t="s">
        <v>21</v>
      </c>
      <c r="B3" s="102" t="str">
        <f>'Listado Objetos de Dominio'!$B$3</f>
        <v>Describe al usuario que recibe las solicitudes y envía la cotización de los productos al cliente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20" x14ac:dyDescent="0.45">
      <c r="A4" s="8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  <c r="L4" s="9" t="s">
        <v>33</v>
      </c>
      <c r="M4" s="9" t="s">
        <v>34</v>
      </c>
      <c r="N4" s="9" t="s">
        <v>35</v>
      </c>
      <c r="O4" s="9" t="s">
        <v>36</v>
      </c>
      <c r="P4" s="10" t="s">
        <v>3</v>
      </c>
      <c r="Q4" s="37" t="str">
        <f>A16</f>
        <v>Registrar</v>
      </c>
      <c r="R4" s="35" t="str">
        <f>A17</f>
        <v>Actualizar datos</v>
      </c>
      <c r="S4" s="36" t="str">
        <f>A18</f>
        <v>Consultar</v>
      </c>
      <c r="T4" s="2" t="str">
        <f>A19</f>
        <v>Eliminar</v>
      </c>
    </row>
    <row r="5" spans="1:20" x14ac:dyDescent="0.45">
      <c r="A5" s="11" t="s">
        <v>138</v>
      </c>
      <c r="B5" s="5" t="s">
        <v>38</v>
      </c>
      <c r="C5" s="5">
        <v>1</v>
      </c>
      <c r="D5" s="5" t="s">
        <v>93</v>
      </c>
      <c r="E5" s="5"/>
      <c r="F5" s="5"/>
      <c r="G5" s="5"/>
      <c r="H5" s="5" t="s">
        <v>139</v>
      </c>
      <c r="I5" s="5"/>
      <c r="J5" s="13"/>
      <c r="K5" s="12" t="s">
        <v>40</v>
      </c>
      <c r="L5" s="5" t="s">
        <v>41</v>
      </c>
      <c r="M5" s="5" t="s">
        <v>40</v>
      </c>
      <c r="N5" s="5"/>
      <c r="O5" s="5" t="s">
        <v>40</v>
      </c>
      <c r="P5" s="7" t="s">
        <v>140</v>
      </c>
      <c r="Q5" s="34"/>
      <c r="R5" s="23"/>
      <c r="S5" s="28"/>
      <c r="T5" s="31"/>
    </row>
    <row r="6" spans="1:20" x14ac:dyDescent="0.45">
      <c r="A6" s="11" t="s">
        <v>2</v>
      </c>
      <c r="B6" s="5" t="s">
        <v>42</v>
      </c>
      <c r="C6" s="5">
        <v>1</v>
      </c>
      <c r="D6" s="5">
        <v>50</v>
      </c>
      <c r="E6" s="5"/>
      <c r="F6" s="5"/>
      <c r="G6" s="5"/>
      <c r="H6" s="5" t="s">
        <v>43</v>
      </c>
      <c r="I6" s="5"/>
      <c r="J6" s="13"/>
      <c r="K6" s="12"/>
      <c r="L6" s="5"/>
      <c r="M6" s="5" t="s">
        <v>40</v>
      </c>
      <c r="N6" s="5"/>
      <c r="O6" s="5"/>
      <c r="P6" s="7" t="s">
        <v>44</v>
      </c>
      <c r="Q6" s="34"/>
      <c r="R6" s="23"/>
      <c r="S6" s="28"/>
      <c r="T6" s="31"/>
    </row>
    <row r="7" spans="1:20" x14ac:dyDescent="0.45">
      <c r="A7" s="11" t="s">
        <v>45</v>
      </c>
      <c r="B7" s="5" t="s">
        <v>42</v>
      </c>
      <c r="C7" s="5">
        <v>1</v>
      </c>
      <c r="D7" s="5">
        <v>50</v>
      </c>
      <c r="E7" s="5"/>
      <c r="F7" s="5"/>
      <c r="G7" s="5"/>
      <c r="H7" s="5" t="s">
        <v>43</v>
      </c>
      <c r="I7" s="5"/>
      <c r="J7" s="6"/>
      <c r="K7" s="5"/>
      <c r="L7" s="5"/>
      <c r="M7" s="5" t="s">
        <v>40</v>
      </c>
      <c r="N7" s="5"/>
      <c r="O7" s="5"/>
      <c r="P7" s="7" t="s">
        <v>46</v>
      </c>
      <c r="Q7" s="34"/>
      <c r="R7" s="23"/>
      <c r="S7" s="28"/>
      <c r="T7" s="31"/>
    </row>
    <row r="8" spans="1:20" x14ac:dyDescent="0.45">
      <c r="A8" s="68" t="s">
        <v>47</v>
      </c>
      <c r="B8" s="69" t="s">
        <v>38</v>
      </c>
      <c r="C8" s="69">
        <v>1</v>
      </c>
      <c r="D8" s="69">
        <v>20</v>
      </c>
      <c r="E8" s="69"/>
      <c r="F8" s="69"/>
      <c r="G8" s="69"/>
      <c r="H8" s="69"/>
      <c r="I8" s="69"/>
      <c r="J8" s="70" t="s">
        <v>48</v>
      </c>
      <c r="K8" s="69" t="s">
        <v>41</v>
      </c>
      <c r="L8" s="69" t="s">
        <v>41</v>
      </c>
      <c r="M8" s="69" t="s">
        <v>40</v>
      </c>
      <c r="N8" s="69"/>
      <c r="O8" s="69"/>
      <c r="P8" s="71" t="s">
        <v>49</v>
      </c>
      <c r="Q8" s="34"/>
      <c r="R8" s="23"/>
      <c r="S8" s="28"/>
      <c r="T8" s="31"/>
    </row>
    <row r="9" spans="1:20" x14ac:dyDescent="0.45">
      <c r="A9" s="72" t="s">
        <v>50</v>
      </c>
      <c r="B9" s="72" t="s">
        <v>38</v>
      </c>
      <c r="C9" s="72">
        <v>8</v>
      </c>
      <c r="D9" s="72">
        <v>12</v>
      </c>
      <c r="E9" s="72"/>
      <c r="F9" s="72"/>
      <c r="G9" s="72"/>
      <c r="H9" s="72"/>
      <c r="I9" s="72"/>
      <c r="J9" s="73"/>
      <c r="K9" s="72" t="s">
        <v>41</v>
      </c>
      <c r="L9" s="72" t="s">
        <v>41</v>
      </c>
      <c r="M9" s="72" t="s">
        <v>40</v>
      </c>
      <c r="N9" s="72" t="s">
        <v>40</v>
      </c>
      <c r="O9" s="72"/>
      <c r="P9" s="74" t="s">
        <v>51</v>
      </c>
    </row>
    <row r="10" spans="1:20" ht="51.75" customHeight="1" x14ac:dyDescent="0.45">
      <c r="A10" s="72" t="s">
        <v>52</v>
      </c>
      <c r="B10" s="72" t="s">
        <v>52</v>
      </c>
      <c r="C10" s="72"/>
      <c r="D10" s="72"/>
      <c r="E10" s="72"/>
      <c r="F10" s="72"/>
      <c r="G10" s="72"/>
      <c r="H10" s="72"/>
      <c r="I10" s="72"/>
      <c r="J10" s="75" t="s">
        <v>53</v>
      </c>
      <c r="K10" s="72"/>
      <c r="L10" s="72"/>
      <c r="M10" s="72"/>
      <c r="N10" s="72"/>
      <c r="O10" s="72"/>
      <c r="P10" s="74"/>
    </row>
    <row r="11" spans="1:20" x14ac:dyDescent="0.45">
      <c r="A11" s="17" t="s">
        <v>54</v>
      </c>
      <c r="B11" s="16" t="s">
        <v>3</v>
      </c>
      <c r="C11" s="18" t="s">
        <v>55</v>
      </c>
    </row>
    <row r="12" spans="1:20" ht="39" customHeight="1" x14ac:dyDescent="0.45">
      <c r="A12" s="14"/>
      <c r="B12" s="15"/>
      <c r="C12" s="38"/>
    </row>
    <row r="14" spans="1:20" x14ac:dyDescent="0.45">
      <c r="A14" s="103" t="s">
        <v>56</v>
      </c>
      <c r="B14" s="104"/>
      <c r="C14" s="104" t="s">
        <v>3</v>
      </c>
      <c r="D14" s="104"/>
      <c r="E14" s="104"/>
      <c r="F14" s="104"/>
      <c r="G14" s="104" t="s">
        <v>57</v>
      </c>
      <c r="H14" s="104"/>
      <c r="I14" s="104"/>
      <c r="J14" s="104" t="s">
        <v>58</v>
      </c>
      <c r="K14" s="104"/>
      <c r="L14" s="104"/>
      <c r="M14" s="104"/>
      <c r="N14" s="104"/>
      <c r="O14" s="104" t="s">
        <v>59</v>
      </c>
      <c r="P14" s="104"/>
      <c r="Q14" s="104" t="s">
        <v>60</v>
      </c>
      <c r="R14" s="107"/>
    </row>
    <row r="15" spans="1:20" x14ac:dyDescent="0.45">
      <c r="A15" s="105"/>
      <c r="B15" s="106"/>
      <c r="C15" s="106"/>
      <c r="D15" s="106"/>
      <c r="E15" s="106"/>
      <c r="F15" s="106"/>
      <c r="G15" s="19" t="s">
        <v>61</v>
      </c>
      <c r="H15" s="19" t="s">
        <v>62</v>
      </c>
      <c r="I15" s="19" t="s">
        <v>3</v>
      </c>
      <c r="J15" s="19" t="s">
        <v>23</v>
      </c>
      <c r="K15" s="106" t="s">
        <v>3</v>
      </c>
      <c r="L15" s="106"/>
      <c r="M15" s="106"/>
      <c r="N15" s="106"/>
      <c r="O15" s="19" t="s">
        <v>63</v>
      </c>
      <c r="P15" s="19" t="s">
        <v>3</v>
      </c>
      <c r="Q15" s="19" t="s">
        <v>64</v>
      </c>
      <c r="R15" s="25" t="s">
        <v>65</v>
      </c>
    </row>
    <row r="16" spans="1:20" ht="32.25" customHeight="1" x14ac:dyDescent="0.45">
      <c r="A16" s="108" t="s">
        <v>66</v>
      </c>
      <c r="B16" s="109"/>
      <c r="C16" s="110" t="s">
        <v>67</v>
      </c>
      <c r="D16" s="110"/>
      <c r="E16" s="110"/>
      <c r="F16" s="110"/>
      <c r="G16" s="20"/>
      <c r="H16" s="21"/>
      <c r="I16" s="22"/>
      <c r="J16" s="21"/>
      <c r="K16" s="110"/>
      <c r="L16" s="110"/>
      <c r="M16" s="110"/>
      <c r="N16" s="110"/>
      <c r="O16" s="20"/>
      <c r="P16" s="20"/>
      <c r="Q16" s="20"/>
      <c r="R16" s="26"/>
    </row>
    <row r="17" spans="1:18" ht="26.25" customHeight="1" x14ac:dyDescent="0.45">
      <c r="A17" s="120" t="s">
        <v>68</v>
      </c>
      <c r="B17" s="121"/>
      <c r="C17" s="122" t="s">
        <v>69</v>
      </c>
      <c r="D17" s="122"/>
      <c r="E17" s="122"/>
      <c r="F17" s="122"/>
      <c r="G17" s="46"/>
      <c r="H17" s="44"/>
      <c r="I17" s="45"/>
      <c r="J17" s="39"/>
      <c r="K17" s="115"/>
      <c r="L17" s="115"/>
      <c r="M17" s="115"/>
      <c r="N17" s="115"/>
      <c r="O17" s="23"/>
      <c r="P17" s="24"/>
      <c r="Q17" s="24"/>
      <c r="R17" s="27"/>
    </row>
    <row r="18" spans="1:18" ht="29.25" customHeight="1" x14ac:dyDescent="0.45">
      <c r="A18" s="116" t="s">
        <v>70</v>
      </c>
      <c r="B18" s="117"/>
      <c r="C18" s="118" t="s">
        <v>71</v>
      </c>
      <c r="D18" s="118"/>
      <c r="E18" s="118"/>
      <c r="F18" s="118"/>
      <c r="G18" s="42"/>
      <c r="H18" s="40"/>
      <c r="I18" s="41"/>
      <c r="J18" s="43"/>
      <c r="K18" s="119"/>
      <c r="L18" s="119"/>
      <c r="M18" s="119"/>
      <c r="N18" s="119"/>
      <c r="O18" s="28"/>
      <c r="P18" s="29"/>
      <c r="Q18" s="29"/>
      <c r="R18" s="30"/>
    </row>
    <row r="19" spans="1:18" ht="27" customHeight="1" x14ac:dyDescent="0.45">
      <c r="A19" s="112" t="s">
        <v>72</v>
      </c>
      <c r="B19" s="113"/>
      <c r="C19" s="114" t="s">
        <v>73</v>
      </c>
      <c r="D19" s="114"/>
      <c r="E19" s="114"/>
      <c r="F19" s="114"/>
      <c r="G19" s="48"/>
      <c r="H19" s="49"/>
      <c r="I19" s="47"/>
      <c r="J19" s="48"/>
      <c r="K19" s="111"/>
      <c r="L19" s="111"/>
      <c r="M19" s="111"/>
      <c r="N19" s="111"/>
      <c r="O19" s="31"/>
      <c r="P19" s="32"/>
      <c r="Q19" s="32"/>
      <c r="R19" s="33"/>
    </row>
    <row r="20" spans="1:18" ht="27.75" customHeight="1" x14ac:dyDescent="0.45">
      <c r="A20" s="98" t="s">
        <v>74</v>
      </c>
      <c r="B20" s="98"/>
      <c r="C20" s="99" t="s">
        <v>75</v>
      </c>
      <c r="D20" s="99"/>
      <c r="E20" s="99"/>
      <c r="F20" s="99"/>
    </row>
    <row r="21" spans="1:18" ht="45.75" customHeight="1" x14ac:dyDescent="0.45">
      <c r="A21" s="98" t="s">
        <v>76</v>
      </c>
      <c r="B21" s="98"/>
      <c r="C21" s="99" t="s">
        <v>77</v>
      </c>
      <c r="D21" s="99"/>
      <c r="E21" s="99"/>
      <c r="F21" s="99"/>
    </row>
    <row r="22" spans="1:18" ht="37.5" customHeight="1" x14ac:dyDescent="0.45">
      <c r="A22" s="98" t="s">
        <v>78</v>
      </c>
      <c r="B22" s="98"/>
      <c r="C22" s="99" t="s">
        <v>79</v>
      </c>
      <c r="D22" s="99"/>
      <c r="E22" s="99"/>
      <c r="F22" s="99"/>
    </row>
    <row r="23" spans="1:18" ht="27" customHeight="1" x14ac:dyDescent="0.45">
      <c r="A23" s="98" t="s">
        <v>80</v>
      </c>
      <c r="B23" s="98"/>
      <c r="C23" s="99" t="s">
        <v>81</v>
      </c>
      <c r="D23" s="99"/>
      <c r="E23" s="99"/>
      <c r="F23" s="99"/>
    </row>
    <row r="24" spans="1:18" ht="32.25" customHeight="1" x14ac:dyDescent="0.45">
      <c r="A24" s="98" t="s">
        <v>82</v>
      </c>
      <c r="B24" s="98"/>
      <c r="C24" s="99" t="s">
        <v>83</v>
      </c>
      <c r="D24" s="99"/>
      <c r="E24" s="99"/>
      <c r="F24" s="99"/>
    </row>
  </sheetData>
  <mergeCells count="32">
    <mergeCell ref="K19:N19"/>
    <mergeCell ref="A19:B19"/>
    <mergeCell ref="C19:F19"/>
    <mergeCell ref="K17:N17"/>
    <mergeCell ref="A18:B18"/>
    <mergeCell ref="C18:F18"/>
    <mergeCell ref="K18:N18"/>
    <mergeCell ref="A17:B17"/>
    <mergeCell ref="C17:F17"/>
    <mergeCell ref="Q14:R14"/>
    <mergeCell ref="K15:N15"/>
    <mergeCell ref="A16:B16"/>
    <mergeCell ref="C16:F16"/>
    <mergeCell ref="K16:N16"/>
    <mergeCell ref="A1:P1"/>
    <mergeCell ref="B2:P2"/>
    <mergeCell ref="B3:P3"/>
    <mergeCell ref="A14:B15"/>
    <mergeCell ref="C14:F15"/>
    <mergeCell ref="G14:I14"/>
    <mergeCell ref="J14:N14"/>
    <mergeCell ref="O14:P14"/>
    <mergeCell ref="A23:B23"/>
    <mergeCell ref="C23:F23"/>
    <mergeCell ref="A24:B24"/>
    <mergeCell ref="C24:F24"/>
    <mergeCell ref="A20:B20"/>
    <mergeCell ref="C20:F20"/>
    <mergeCell ref="A21:B21"/>
    <mergeCell ref="C21:F21"/>
    <mergeCell ref="A22:B22"/>
    <mergeCell ref="C22:F22"/>
  </mergeCells>
  <hyperlinks>
    <hyperlink ref="A1" location="'Objetos de Dominio'!A1" display="Volver al inicio" xr:uid="{F92E8141-0BAA-4CFF-A2AA-790349ADA214}"/>
    <hyperlink ref="H19" location="'Tipo Relación Institución'!A6" display="'Tipo Relación Institución'!A6" xr:uid="{9CFC97C1-FDC7-4BCC-A442-03CBBA306898}"/>
    <hyperlink ref="R4" location="'Objeto Dominio 2'!A17" display="'Objeto Dominio 2'!A17" xr:uid="{C31578C6-097C-48B5-85BE-E2B5695507BB}"/>
    <hyperlink ref="S4" location="'Objeto Dominio 2'!A18" display="'Objeto Dominio 2'!A18" xr:uid="{12E63051-0357-4C9D-ABE2-AAC9F4D1077D}"/>
    <hyperlink ref="T4" location="'Objeto Dominio 2'!A19" display="'Objeto Dominio 2'!A19" xr:uid="{1EEF2DB2-A99F-4C59-8304-4835FA7407E0}"/>
    <hyperlink ref="Q4" location="'Objeto Dominio 2'!A16" display="'Objeto Dominio 2'!A16" xr:uid="{F66CECC3-2EE1-49F8-9E57-39E041254432}"/>
    <hyperlink ref="A1:P1" location="'Listado Objetos de Dominio'!A1" display="&lt;-Volver al inicio" xr:uid="{BAD90D86-7311-49B0-A802-02D69BE204D5}"/>
    <hyperlink ref="A17:B17" location="'Objeto Dominio N'!R4" display="Reponsabilidad 2" xr:uid="{44E2B895-39D5-4FDD-8801-7BD1D5464DBA}"/>
    <hyperlink ref="A19:B19" location="'Objeto Dominio N'!T4" display="Reponsabilidad 4" xr:uid="{A47483BC-99FC-4437-BDC4-A76B47D33712}"/>
    <hyperlink ref="A18:B18" location="'Objeto Dominio N'!S4" display="Reponsabilidad 3" xr:uid="{DD968F3D-A221-4FEF-A2C7-5BC0C5C08259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FC6-5B3A-4E40-BEA3-58E7EDB79B0C}">
  <dimension ref="A1:T20"/>
  <sheetViews>
    <sheetView workbookViewId="0">
      <pane ySplit="2" topLeftCell="A7" activePane="bottomLeft" state="frozen"/>
      <selection pane="bottomLeft" activeCell="A20" sqref="A20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00" t="s">
        <v>19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spans="1:20" x14ac:dyDescent="0.45">
      <c r="A2" s="4" t="s">
        <v>20</v>
      </c>
      <c r="B2" s="101" t="str">
        <f>'Listado Objetos de Dominio'!$A$4</f>
        <v>Negocio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</row>
    <row r="3" spans="1:20" ht="14.65" thickBot="1" x14ac:dyDescent="0.5">
      <c r="A3" s="4" t="s">
        <v>21</v>
      </c>
      <c r="B3" s="102" t="str">
        <f>'Listado Objetos de Dominio'!$B$4</f>
        <v>Se refiere al negocio que ha registrado el proovedor en la aplicación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20" x14ac:dyDescent="0.45">
      <c r="A4" s="8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  <c r="L4" s="9" t="s">
        <v>33</v>
      </c>
      <c r="M4" s="9" t="s">
        <v>34</v>
      </c>
      <c r="N4" s="9" t="s">
        <v>35</v>
      </c>
      <c r="O4" s="9" t="s">
        <v>36</v>
      </c>
      <c r="P4" s="10" t="s">
        <v>3</v>
      </c>
      <c r="Q4" s="37" t="str">
        <f>A17</f>
        <v>Registrar</v>
      </c>
      <c r="R4" s="35" t="str">
        <f>A18</f>
        <v>Actualizar datos</v>
      </c>
      <c r="S4" s="36" t="str">
        <f>A19</f>
        <v>Consultar</v>
      </c>
      <c r="T4" s="2" t="str">
        <f>A20</f>
        <v>Eliminar</v>
      </c>
    </row>
    <row r="5" spans="1:20" x14ac:dyDescent="0.45">
      <c r="A5" s="11" t="s">
        <v>37</v>
      </c>
      <c r="B5" s="5" t="s">
        <v>38</v>
      </c>
      <c r="C5" s="5">
        <v>1</v>
      </c>
      <c r="D5" s="5">
        <v>15</v>
      </c>
      <c r="E5" s="5"/>
      <c r="F5" s="5"/>
      <c r="G5" s="5"/>
      <c r="H5" s="5" t="s">
        <v>39</v>
      </c>
      <c r="I5" s="5"/>
      <c r="J5" s="13"/>
      <c r="K5" s="12" t="s">
        <v>40</v>
      </c>
      <c r="L5" s="5" t="s">
        <v>41</v>
      </c>
      <c r="M5" s="5" t="s">
        <v>40</v>
      </c>
      <c r="N5" s="5"/>
      <c r="O5" s="5" t="s">
        <v>40</v>
      </c>
      <c r="P5" s="7" t="s">
        <v>84</v>
      </c>
      <c r="Q5" s="34"/>
      <c r="R5" s="23"/>
      <c r="S5" s="28"/>
      <c r="T5" s="31"/>
    </row>
    <row r="6" spans="1:20" x14ac:dyDescent="0.45">
      <c r="A6" s="11" t="s">
        <v>2</v>
      </c>
      <c r="B6" s="5" t="s">
        <v>42</v>
      </c>
      <c r="C6" s="5">
        <v>1</v>
      </c>
      <c r="D6" s="5">
        <v>50</v>
      </c>
      <c r="E6" s="5"/>
      <c r="F6" s="5"/>
      <c r="G6" s="5"/>
      <c r="H6" s="5" t="s">
        <v>43</v>
      </c>
      <c r="I6" s="5"/>
      <c r="J6" s="13"/>
      <c r="K6" s="12"/>
      <c r="L6" s="5"/>
      <c r="M6" s="5" t="s">
        <v>40</v>
      </c>
      <c r="N6" s="5"/>
      <c r="O6" s="5"/>
      <c r="P6" s="7" t="s">
        <v>85</v>
      </c>
      <c r="Q6" s="34"/>
      <c r="R6" s="23"/>
      <c r="S6" s="28"/>
      <c r="T6" s="31"/>
    </row>
    <row r="7" spans="1:20" x14ac:dyDescent="0.45">
      <c r="A7" s="11" t="s">
        <v>86</v>
      </c>
      <c r="B7" s="5" t="s">
        <v>42</v>
      </c>
      <c r="C7" s="5">
        <v>1</v>
      </c>
      <c r="D7" s="5">
        <v>50</v>
      </c>
      <c r="E7" s="5"/>
      <c r="F7" s="5"/>
      <c r="G7" s="5"/>
      <c r="H7" s="5" t="s">
        <v>43</v>
      </c>
      <c r="I7" s="5"/>
      <c r="J7" s="6"/>
      <c r="K7" s="5"/>
      <c r="L7" s="5"/>
      <c r="M7" s="5" t="s">
        <v>40</v>
      </c>
      <c r="N7" s="5"/>
      <c r="O7" s="5"/>
      <c r="P7" s="7" t="s">
        <v>87</v>
      </c>
      <c r="Q7" s="34"/>
      <c r="R7" s="23"/>
      <c r="S7" s="28"/>
      <c r="T7" s="31"/>
    </row>
    <row r="8" spans="1:20" x14ac:dyDescent="0.45">
      <c r="A8" s="76" t="s">
        <v>88</v>
      </c>
      <c r="B8" s="77" t="s">
        <v>38</v>
      </c>
      <c r="C8" s="77">
        <v>1</v>
      </c>
      <c r="D8" s="77">
        <v>20</v>
      </c>
      <c r="E8" s="77"/>
      <c r="F8" s="77"/>
      <c r="G8" s="77"/>
      <c r="H8" s="77" t="s">
        <v>43</v>
      </c>
      <c r="I8" s="77"/>
      <c r="J8" s="78"/>
      <c r="K8" s="77" t="s">
        <v>41</v>
      </c>
      <c r="L8" s="77" t="s">
        <v>41</v>
      </c>
      <c r="M8" s="77" t="s">
        <v>40</v>
      </c>
      <c r="N8" s="77"/>
      <c r="O8" s="77"/>
      <c r="P8" s="79" t="s">
        <v>89</v>
      </c>
      <c r="Q8" s="34"/>
      <c r="R8" s="23"/>
      <c r="S8" s="28"/>
      <c r="T8" s="31"/>
    </row>
    <row r="9" spans="1:20" ht="26.25" x14ac:dyDescent="0.45">
      <c r="A9" s="87" t="s">
        <v>6</v>
      </c>
      <c r="B9" s="87"/>
      <c r="C9" s="87"/>
      <c r="D9" s="87"/>
      <c r="E9" s="87"/>
      <c r="F9" s="87"/>
      <c r="G9" s="87"/>
      <c r="H9" s="87"/>
      <c r="I9" s="87"/>
      <c r="J9" s="93" t="s">
        <v>90</v>
      </c>
      <c r="K9" s="87"/>
      <c r="L9" s="87"/>
      <c r="M9" s="87"/>
      <c r="N9" s="87"/>
      <c r="O9" s="87"/>
      <c r="P9" s="88"/>
      <c r="Q9" s="89"/>
      <c r="R9" s="90"/>
      <c r="S9" s="91"/>
      <c r="T9" s="92"/>
    </row>
    <row r="10" spans="1:20" ht="14.65" thickBot="1" x14ac:dyDescent="0.5"/>
    <row r="11" spans="1:20" x14ac:dyDescent="0.45">
      <c r="A11" s="141" t="s">
        <v>91</v>
      </c>
      <c r="B11" s="142"/>
      <c r="C11" s="143"/>
    </row>
    <row r="12" spans="1:20" x14ac:dyDescent="0.45">
      <c r="A12" s="17" t="s">
        <v>54</v>
      </c>
      <c r="B12" s="16" t="s">
        <v>3</v>
      </c>
      <c r="C12" s="18" t="s">
        <v>55</v>
      </c>
    </row>
    <row r="13" spans="1:20" ht="39" customHeight="1" thickBot="1" x14ac:dyDescent="0.5">
      <c r="A13" s="14"/>
      <c r="B13" s="15"/>
      <c r="C13" s="38"/>
    </row>
    <row r="15" spans="1:20" x14ac:dyDescent="0.45">
      <c r="A15" s="103" t="s">
        <v>56</v>
      </c>
      <c r="B15" s="104"/>
      <c r="C15" s="104" t="s">
        <v>3</v>
      </c>
      <c r="D15" s="104"/>
      <c r="E15" s="104"/>
      <c r="F15" s="104"/>
      <c r="G15" s="104" t="s">
        <v>57</v>
      </c>
      <c r="H15" s="104"/>
      <c r="I15" s="104"/>
      <c r="J15" s="104" t="s">
        <v>58</v>
      </c>
      <c r="K15" s="104"/>
      <c r="L15" s="104"/>
      <c r="M15" s="104"/>
      <c r="N15" s="104"/>
      <c r="O15" s="104" t="s">
        <v>59</v>
      </c>
      <c r="P15" s="104"/>
      <c r="Q15" s="104" t="s">
        <v>60</v>
      </c>
      <c r="R15" s="107"/>
    </row>
    <row r="16" spans="1:20" x14ac:dyDescent="0.45">
      <c r="A16" s="105"/>
      <c r="B16" s="106"/>
      <c r="C16" s="106"/>
      <c r="D16" s="106"/>
      <c r="E16" s="106"/>
      <c r="F16" s="106"/>
      <c r="G16" s="19" t="s">
        <v>61</v>
      </c>
      <c r="H16" s="19" t="s">
        <v>62</v>
      </c>
      <c r="I16" s="19" t="s">
        <v>3</v>
      </c>
      <c r="J16" s="19" t="s">
        <v>23</v>
      </c>
      <c r="K16" s="106" t="s">
        <v>3</v>
      </c>
      <c r="L16" s="106"/>
      <c r="M16" s="106"/>
      <c r="N16" s="106"/>
      <c r="O16" s="19" t="s">
        <v>63</v>
      </c>
      <c r="P16" s="19" t="s">
        <v>3</v>
      </c>
      <c r="Q16" s="19" t="s">
        <v>64</v>
      </c>
      <c r="R16" s="25" t="s">
        <v>65</v>
      </c>
    </row>
    <row r="17" spans="1:18" ht="41.25" customHeight="1" x14ac:dyDescent="0.45">
      <c r="A17" s="120" t="s">
        <v>66</v>
      </c>
      <c r="B17" s="121"/>
      <c r="C17" s="122" t="s">
        <v>92</v>
      </c>
      <c r="D17" s="122"/>
      <c r="E17" s="122"/>
      <c r="F17" s="122"/>
      <c r="G17" s="46"/>
      <c r="H17" s="44"/>
      <c r="I17" s="45" t="s">
        <v>93</v>
      </c>
      <c r="J17" s="21"/>
      <c r="K17" s="110"/>
      <c r="L17" s="110"/>
      <c r="M17" s="110"/>
      <c r="N17" s="110"/>
      <c r="O17" s="20"/>
      <c r="P17" s="20"/>
      <c r="Q17" s="20"/>
      <c r="R17" s="26"/>
    </row>
    <row r="18" spans="1:18" ht="26.25" customHeight="1" x14ac:dyDescent="0.45">
      <c r="A18" s="136" t="s">
        <v>68</v>
      </c>
      <c r="B18" s="137"/>
      <c r="C18" s="122" t="s">
        <v>94</v>
      </c>
      <c r="D18" s="122"/>
      <c r="E18" s="122"/>
      <c r="F18" s="122"/>
      <c r="G18" s="46"/>
      <c r="H18" s="44"/>
      <c r="I18" s="45"/>
      <c r="J18" s="39"/>
      <c r="K18" s="138"/>
      <c r="L18" s="139"/>
      <c r="M18" s="139"/>
      <c r="N18" s="140"/>
      <c r="O18" s="23"/>
      <c r="P18" s="24"/>
      <c r="Q18" s="24"/>
      <c r="R18" s="27"/>
    </row>
    <row r="19" spans="1:18" ht="36" customHeight="1" x14ac:dyDescent="0.45">
      <c r="A19" s="123" t="s">
        <v>70</v>
      </c>
      <c r="B19" s="124"/>
      <c r="C19" s="122" t="s">
        <v>95</v>
      </c>
      <c r="D19" s="122"/>
      <c r="E19" s="122"/>
      <c r="F19" s="122"/>
      <c r="G19" s="42"/>
      <c r="H19" s="40"/>
      <c r="I19" s="41"/>
      <c r="J19" s="43"/>
      <c r="K19" s="125"/>
      <c r="L19" s="126"/>
      <c r="M19" s="126"/>
      <c r="N19" s="127"/>
      <c r="O19" s="28"/>
      <c r="P19" s="29"/>
      <c r="Q19" s="29"/>
      <c r="R19" s="30"/>
    </row>
    <row r="20" spans="1:18" x14ac:dyDescent="0.45">
      <c r="A20" s="128" t="s">
        <v>72</v>
      </c>
      <c r="B20" s="129"/>
      <c r="C20" s="130" t="s">
        <v>96</v>
      </c>
      <c r="D20" s="131"/>
      <c r="E20" s="131"/>
      <c r="F20" s="132"/>
      <c r="G20" s="48"/>
      <c r="H20" s="49"/>
      <c r="I20" s="47"/>
      <c r="J20" s="48"/>
      <c r="K20" s="133"/>
      <c r="L20" s="134"/>
      <c r="M20" s="134"/>
      <c r="N20" s="135"/>
      <c r="O20" s="31"/>
      <c r="P20" s="32"/>
      <c r="Q20" s="32"/>
      <c r="R20" s="33"/>
    </row>
  </sheetData>
  <mergeCells count="23">
    <mergeCell ref="A18:B18"/>
    <mergeCell ref="C18:F18"/>
    <mergeCell ref="K18:N18"/>
    <mergeCell ref="A1:P1"/>
    <mergeCell ref="B2:P2"/>
    <mergeCell ref="B3:P3"/>
    <mergeCell ref="A11:C11"/>
    <mergeCell ref="A15:B16"/>
    <mergeCell ref="C15:F16"/>
    <mergeCell ref="G15:I15"/>
    <mergeCell ref="J15:N15"/>
    <mergeCell ref="O15:P15"/>
    <mergeCell ref="Q15:R15"/>
    <mergeCell ref="K16:N16"/>
    <mergeCell ref="A17:B17"/>
    <mergeCell ref="C17:F17"/>
    <mergeCell ref="K17:N17"/>
    <mergeCell ref="A19:B19"/>
    <mergeCell ref="C19:F19"/>
    <mergeCell ref="K19:N19"/>
    <mergeCell ref="A20:B20"/>
    <mergeCell ref="C20:F20"/>
    <mergeCell ref="K20:N20"/>
  </mergeCells>
  <hyperlinks>
    <hyperlink ref="A1" location="'Objetos de Dominio'!A1" display="Volver al inicio" xr:uid="{BD3FFCC5-4B44-4838-A36D-76DB08190487}"/>
    <hyperlink ref="R4" location="'Objeto Dominio 1'!A17" display="'Objeto Dominio 1'!A17" xr:uid="{A2870EFD-A505-493E-87E8-2E1411795896}"/>
    <hyperlink ref="S4" location="'Objeto Dominio 1'!A18" display="'Objeto Dominio 1'!A18" xr:uid="{255B7490-DDA4-4BEF-98CA-B99448352900}"/>
    <hyperlink ref="T4" location="'Objeto Dominio 1'!A19" display="'Objeto Dominio 1'!A19" xr:uid="{706882A1-07E0-4948-8B9C-8861D2CC8FE3}"/>
    <hyperlink ref="Q4" location="'Objeto Dominio 1'!A16" display="'Objeto Dominio 1'!A16" xr:uid="{B7DC66C7-CAF0-414F-9819-29E983398B1B}"/>
    <hyperlink ref="A1:P1" location="'Listado Objetos de Dominio'!A1" display="&lt;-Volver al inicio" xr:uid="{EDAD5212-8D62-4F21-A63F-5CE874FBE78D}"/>
    <hyperlink ref="A17:B17" location="'Objeto Dominio N'!R4" display="Reponsabilidad 2" xr:uid="{31AED2E9-083B-49C3-9F04-B33FEDE02F3A}"/>
    <hyperlink ref="A19:B19" location="'Objeto Dominio 1'!S4" display="Reponsabilidad 3" xr:uid="{DBE4323C-BAC1-4FB0-A412-5378CE0BAF9B}"/>
    <hyperlink ref="A20:B20" location="'Objeto Dominio 1'!T4" display="Reponsabilidad 4" xr:uid="{715E6582-9CD3-4DEC-9198-02819694A183}"/>
    <hyperlink ref="A18:B18" location="'Objeto Dominio 1'!R4" display="Reponsabilidad 2" xr:uid="{B337A699-0CE0-4F38-BF55-7E8C0A137EBF}"/>
    <hyperlink ref="H20" location="'Tipo Relación Institución'!A6" display="'Tipo Relación Institución'!A6" xr:uid="{25C12BD1-D4FF-4A66-A1D2-16B9D6F696E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88CD-1BA6-4157-9522-8201A0FEDE3C}">
  <dimension ref="A1:T21"/>
  <sheetViews>
    <sheetView topLeftCell="A5" zoomScale="70" zoomScaleNormal="70" workbookViewId="0">
      <selection activeCell="G18" sqref="G18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18.13281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00" t="s">
        <v>19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spans="1:20" x14ac:dyDescent="0.45">
      <c r="A2" s="4" t="s">
        <v>20</v>
      </c>
      <c r="B2" s="101" t="str">
        <f>'Listado Objetos de Dominio'!$A$5</f>
        <v xml:space="preserve">Solicitud cotización 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</row>
    <row r="3" spans="1:20" ht="14.65" thickBot="1" x14ac:dyDescent="0.5">
      <c r="A3" s="4" t="s">
        <v>21</v>
      </c>
      <c r="B3" s="102" t="str">
        <f>'Listado Objetos de Dominio'!$B$5</f>
        <v>Se refiere al documento que diligencia el cliente solicitando la cotización de ciertos productos y es recibida por el proveedor para su respectiva respuesta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20" x14ac:dyDescent="0.45">
      <c r="A4" s="8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  <c r="L4" s="9" t="s">
        <v>33</v>
      </c>
      <c r="M4" s="9" t="s">
        <v>34</v>
      </c>
      <c r="N4" s="9" t="s">
        <v>35</v>
      </c>
      <c r="O4" s="9" t="s">
        <v>36</v>
      </c>
      <c r="P4" s="10" t="s">
        <v>3</v>
      </c>
      <c r="Q4" s="37" t="str">
        <f>A17</f>
        <v>crear</v>
      </c>
      <c r="R4" s="35" t="str">
        <f>A18</f>
        <v>editar</v>
      </c>
      <c r="S4" s="36" t="str">
        <f>A19</f>
        <v>consultar</v>
      </c>
      <c r="T4" s="2" t="str">
        <f>A20</f>
        <v>eliminar</v>
      </c>
    </row>
    <row r="5" spans="1:20" x14ac:dyDescent="0.45">
      <c r="A5" s="11" t="s">
        <v>97</v>
      </c>
      <c r="B5" s="5" t="s">
        <v>38</v>
      </c>
      <c r="C5" s="5">
        <v>1</v>
      </c>
      <c r="D5" s="5">
        <v>15</v>
      </c>
      <c r="E5" s="5"/>
      <c r="F5" s="5"/>
      <c r="G5" s="5"/>
      <c r="H5" s="5" t="s">
        <v>39</v>
      </c>
      <c r="I5" s="5"/>
      <c r="J5" s="13"/>
      <c r="K5" s="12" t="s">
        <v>40</v>
      </c>
      <c r="L5" s="5" t="s">
        <v>41</v>
      </c>
      <c r="M5" s="5" t="s">
        <v>40</v>
      </c>
      <c r="N5" s="5"/>
      <c r="O5" s="5" t="s">
        <v>40</v>
      </c>
      <c r="P5" s="7" t="s">
        <v>98</v>
      </c>
      <c r="Q5" s="34"/>
      <c r="R5" s="23"/>
      <c r="S5" s="28"/>
      <c r="T5" s="31"/>
    </row>
    <row r="6" spans="1:20" x14ac:dyDescent="0.45">
      <c r="A6" s="68" t="s">
        <v>99</v>
      </c>
      <c r="B6" s="69" t="s">
        <v>38</v>
      </c>
      <c r="C6" s="69">
        <v>1</v>
      </c>
      <c r="D6" s="69">
        <v>20</v>
      </c>
      <c r="E6" s="69"/>
      <c r="F6" s="69"/>
      <c r="G6" s="69"/>
      <c r="H6" s="69"/>
      <c r="I6" s="69"/>
      <c r="J6" s="70"/>
      <c r="K6" s="69" t="s">
        <v>41</v>
      </c>
      <c r="L6" s="69" t="s">
        <v>41</v>
      </c>
      <c r="M6" s="69" t="s">
        <v>40</v>
      </c>
      <c r="N6" s="69"/>
      <c r="O6" s="69"/>
      <c r="P6" s="71" t="s">
        <v>100</v>
      </c>
      <c r="Q6" s="34"/>
      <c r="R6" s="23"/>
      <c r="S6" s="28"/>
      <c r="T6" s="31"/>
    </row>
    <row r="7" spans="1:20" x14ac:dyDescent="0.45">
      <c r="A7" s="68" t="s">
        <v>101</v>
      </c>
      <c r="B7" s="69" t="s">
        <v>6</v>
      </c>
      <c r="C7" s="69">
        <v>1</v>
      </c>
      <c r="D7" s="69">
        <v>20</v>
      </c>
      <c r="E7" s="69"/>
      <c r="F7" s="69"/>
      <c r="G7" s="69"/>
      <c r="H7" s="69" t="s">
        <v>43</v>
      </c>
      <c r="I7" s="69"/>
      <c r="J7" s="70"/>
      <c r="K7" s="69" t="s">
        <v>41</v>
      </c>
      <c r="L7" s="69" t="s">
        <v>41</v>
      </c>
      <c r="M7" s="69" t="s">
        <v>40</v>
      </c>
      <c r="N7" s="69"/>
      <c r="O7" s="69"/>
      <c r="P7" s="71" t="s">
        <v>102</v>
      </c>
      <c r="Q7" s="34"/>
      <c r="R7" s="23"/>
      <c r="S7" s="28"/>
      <c r="T7" s="31"/>
    </row>
    <row r="8" spans="1:20" ht="18" customHeight="1" x14ac:dyDescent="0.45">
      <c r="A8" s="80" t="s">
        <v>103</v>
      </c>
      <c r="B8" s="80" t="s">
        <v>42</v>
      </c>
      <c r="C8" s="80"/>
      <c r="D8" s="80"/>
      <c r="E8" s="80"/>
      <c r="F8" s="80"/>
      <c r="G8" s="80"/>
      <c r="H8" s="80"/>
      <c r="I8" s="80" t="s">
        <v>104</v>
      </c>
      <c r="J8" s="81"/>
      <c r="K8" s="80"/>
      <c r="L8" s="80"/>
      <c r="M8" s="80"/>
      <c r="N8" s="80"/>
      <c r="O8" s="80"/>
      <c r="P8" s="82" t="s">
        <v>105</v>
      </c>
      <c r="Q8" s="34"/>
      <c r="R8" s="23"/>
      <c r="S8" s="28"/>
      <c r="T8" s="31"/>
    </row>
    <row r="9" spans="1:20" ht="39.4" x14ac:dyDescent="0.45">
      <c r="A9" s="72" t="s">
        <v>6</v>
      </c>
      <c r="B9" s="72" t="s">
        <v>6</v>
      </c>
      <c r="C9" s="72"/>
      <c r="D9" s="72"/>
      <c r="E9" s="72"/>
      <c r="F9" s="72"/>
      <c r="G9" s="72"/>
      <c r="H9" s="72"/>
      <c r="I9" s="72"/>
      <c r="J9" s="81" t="s">
        <v>106</v>
      </c>
      <c r="K9" s="72"/>
      <c r="L9" s="72"/>
      <c r="M9" s="72"/>
      <c r="N9" s="72"/>
      <c r="O9" s="72"/>
      <c r="P9" s="74"/>
    </row>
    <row r="10" spans="1:20" ht="39.4" x14ac:dyDescent="0.45">
      <c r="A10" s="72" t="s">
        <v>107</v>
      </c>
      <c r="B10" s="72" t="s">
        <v>107</v>
      </c>
      <c r="C10" s="72"/>
      <c r="D10" s="72"/>
      <c r="E10" s="72"/>
      <c r="F10" s="72"/>
      <c r="G10" s="72"/>
      <c r="H10" s="72"/>
      <c r="I10" s="83"/>
      <c r="J10" s="75" t="s">
        <v>108</v>
      </c>
      <c r="K10" s="84"/>
      <c r="L10" s="72"/>
      <c r="M10" s="72"/>
      <c r="N10" s="72"/>
      <c r="O10" s="72"/>
      <c r="P10" s="74"/>
    </row>
    <row r="11" spans="1:20" ht="39.4" x14ac:dyDescent="0.45">
      <c r="A11" s="87" t="s">
        <v>109</v>
      </c>
      <c r="B11" s="87"/>
      <c r="C11" s="87"/>
      <c r="D11" s="87"/>
      <c r="E11" s="87"/>
      <c r="F11" s="87"/>
      <c r="G11" s="87"/>
      <c r="H11" s="87"/>
      <c r="I11" s="87"/>
      <c r="J11" s="93" t="s">
        <v>110</v>
      </c>
      <c r="K11" s="87"/>
      <c r="L11" s="87"/>
      <c r="M11" s="87"/>
      <c r="N11" s="87"/>
      <c r="O11" s="87"/>
      <c r="P11" s="88"/>
    </row>
    <row r="12" spans="1:20" x14ac:dyDescent="0.45">
      <c r="A12" s="17" t="s">
        <v>54</v>
      </c>
      <c r="B12" s="16" t="s">
        <v>3</v>
      </c>
      <c r="C12" s="18" t="s">
        <v>55</v>
      </c>
    </row>
    <row r="13" spans="1:20" ht="39" customHeight="1" thickBot="1" x14ac:dyDescent="0.5">
      <c r="A13" s="14"/>
      <c r="B13" s="15"/>
      <c r="C13" s="38"/>
    </row>
    <row r="14" spans="1:20" ht="14.65" thickBot="1" x14ac:dyDescent="0.5"/>
    <row r="15" spans="1:20" x14ac:dyDescent="0.45">
      <c r="A15" s="103" t="s">
        <v>56</v>
      </c>
      <c r="B15" s="104"/>
      <c r="C15" s="104" t="s">
        <v>3</v>
      </c>
      <c r="D15" s="104"/>
      <c r="E15" s="104"/>
      <c r="F15" s="104"/>
      <c r="G15" s="104" t="s">
        <v>57</v>
      </c>
      <c r="H15" s="104"/>
      <c r="I15" s="104"/>
      <c r="J15" s="104" t="s">
        <v>58</v>
      </c>
      <c r="K15" s="104"/>
      <c r="L15" s="104"/>
      <c r="M15" s="104"/>
      <c r="N15" s="104"/>
      <c r="O15" s="104" t="s">
        <v>59</v>
      </c>
      <c r="P15" s="104"/>
      <c r="Q15" s="104" t="s">
        <v>60</v>
      </c>
      <c r="R15" s="107"/>
    </row>
    <row r="16" spans="1:20" x14ac:dyDescent="0.45">
      <c r="A16" s="105"/>
      <c r="B16" s="106"/>
      <c r="C16" s="106"/>
      <c r="D16" s="106"/>
      <c r="E16" s="106"/>
      <c r="F16" s="106"/>
      <c r="G16" s="19" t="s">
        <v>61</v>
      </c>
      <c r="H16" s="19" t="s">
        <v>62</v>
      </c>
      <c r="I16" s="19" t="s">
        <v>3</v>
      </c>
      <c r="J16" s="19" t="s">
        <v>23</v>
      </c>
      <c r="K16" s="106" t="s">
        <v>3</v>
      </c>
      <c r="L16" s="106"/>
      <c r="M16" s="106"/>
      <c r="N16" s="106"/>
      <c r="O16" s="19" t="s">
        <v>63</v>
      </c>
      <c r="P16" s="19" t="s">
        <v>3</v>
      </c>
      <c r="Q16" s="19" t="s">
        <v>64</v>
      </c>
      <c r="R16" s="25" t="s">
        <v>65</v>
      </c>
    </row>
    <row r="17" spans="1:18" ht="45.75" customHeight="1" x14ac:dyDescent="0.45">
      <c r="A17" s="120" t="s">
        <v>111</v>
      </c>
      <c r="B17" s="121"/>
      <c r="C17" s="122" t="s">
        <v>112</v>
      </c>
      <c r="D17" s="122"/>
      <c r="E17" s="122"/>
      <c r="F17" s="122"/>
      <c r="G17" s="20"/>
      <c r="H17" s="21"/>
      <c r="I17" s="22"/>
      <c r="J17" s="21"/>
      <c r="K17" s="110"/>
      <c r="L17" s="110"/>
      <c r="M17" s="110"/>
      <c r="N17" s="110"/>
      <c r="O17" s="20"/>
      <c r="P17" s="20"/>
      <c r="Q17" s="20"/>
      <c r="R17" s="26"/>
    </row>
    <row r="18" spans="1:18" ht="31.5" customHeight="1" x14ac:dyDescent="0.45">
      <c r="A18" s="120" t="s">
        <v>113</v>
      </c>
      <c r="B18" s="121"/>
      <c r="C18" s="122" t="s">
        <v>114</v>
      </c>
      <c r="D18" s="122"/>
      <c r="E18" s="122"/>
      <c r="F18" s="122"/>
      <c r="G18" s="46"/>
      <c r="H18" s="44"/>
      <c r="I18" s="45"/>
      <c r="J18" s="39"/>
      <c r="K18" s="115"/>
      <c r="L18" s="115"/>
      <c r="M18" s="115"/>
      <c r="N18" s="115"/>
      <c r="O18" s="23"/>
      <c r="P18" s="24"/>
      <c r="Q18" s="24"/>
      <c r="R18" s="27"/>
    </row>
    <row r="19" spans="1:18" ht="30" customHeight="1" x14ac:dyDescent="0.45">
      <c r="A19" s="120" t="s">
        <v>115</v>
      </c>
      <c r="B19" s="121"/>
      <c r="C19" s="122" t="s">
        <v>116</v>
      </c>
      <c r="D19" s="122"/>
      <c r="E19" s="122"/>
      <c r="F19" s="122"/>
      <c r="G19" s="42"/>
      <c r="H19" s="40"/>
      <c r="I19" s="41"/>
      <c r="J19" s="43"/>
      <c r="K19" s="119"/>
      <c r="L19" s="119"/>
      <c r="M19" s="119"/>
      <c r="N19" s="119"/>
      <c r="O19" s="28"/>
      <c r="P19" s="29"/>
      <c r="Q19" s="29"/>
      <c r="R19" s="30"/>
    </row>
    <row r="20" spans="1:18" ht="37.5" customHeight="1" x14ac:dyDescent="0.45">
      <c r="A20" s="120" t="s">
        <v>117</v>
      </c>
      <c r="B20" s="121"/>
      <c r="C20" s="122" t="s">
        <v>118</v>
      </c>
      <c r="D20" s="122"/>
      <c r="E20" s="122"/>
      <c r="F20" s="122"/>
      <c r="G20" s="48"/>
      <c r="H20" s="49"/>
      <c r="I20" s="47"/>
      <c r="J20" s="48"/>
      <c r="K20" s="111"/>
      <c r="L20" s="111"/>
      <c r="M20" s="111"/>
      <c r="N20" s="111"/>
      <c r="O20" s="31"/>
      <c r="P20" s="32"/>
      <c r="Q20" s="32"/>
      <c r="R20" s="33"/>
    </row>
    <row r="21" spans="1:18" ht="41.25" customHeight="1" x14ac:dyDescent="0.45">
      <c r="A21" s="144" t="s">
        <v>119</v>
      </c>
      <c r="B21" s="144"/>
      <c r="C21" s="145" t="s">
        <v>120</v>
      </c>
      <c r="D21" s="145"/>
      <c r="E21" s="145"/>
      <c r="F21" s="145"/>
    </row>
  </sheetData>
  <mergeCells count="24">
    <mergeCell ref="A21:B21"/>
    <mergeCell ref="C21:F21"/>
    <mergeCell ref="A1:P1"/>
    <mergeCell ref="B2:P2"/>
    <mergeCell ref="B3:P3"/>
    <mergeCell ref="O15:P15"/>
    <mergeCell ref="A18:B18"/>
    <mergeCell ref="C18:F18"/>
    <mergeCell ref="K18:N18"/>
    <mergeCell ref="K19:N19"/>
    <mergeCell ref="A20:B20"/>
    <mergeCell ref="C20:F20"/>
    <mergeCell ref="K20:N20"/>
    <mergeCell ref="A19:B19"/>
    <mergeCell ref="C19:F19"/>
    <mergeCell ref="Q15:R15"/>
    <mergeCell ref="K16:N16"/>
    <mergeCell ref="A17:B17"/>
    <mergeCell ref="C17:F17"/>
    <mergeCell ref="K17:N17"/>
    <mergeCell ref="A15:B16"/>
    <mergeCell ref="C15:F16"/>
    <mergeCell ref="G15:I15"/>
    <mergeCell ref="J15:N15"/>
  </mergeCells>
  <hyperlinks>
    <hyperlink ref="A1" location="'Objetos de Dominio'!A1" display="Volver al inicio" xr:uid="{0B6B7A21-4F42-4461-B988-DE8CBBB8B21F}"/>
    <hyperlink ref="H20" location="'Tipo Relación Institución'!A6" display="'Tipo Relación Institución'!A6" xr:uid="{A29B7F90-D824-4DAD-9FA9-495F9A36C796}"/>
    <hyperlink ref="R4" location="'Objeto Dominio N'!A17" display="'Objeto Dominio N'!A17" xr:uid="{E9D8D2B5-1A04-41BF-9815-B2A1291CEA12}"/>
    <hyperlink ref="S4" location="'Objeto Dominio N'!A18" display="'Objeto Dominio N'!A18" xr:uid="{43D6E7D0-C1EE-421C-81D4-88BA062E1DD3}"/>
    <hyperlink ref="T4" location="'Objeto Dominio N'!A19" display="'Objeto Dominio N'!A19" xr:uid="{DFFE25A9-85CA-4C20-92B1-340B3519D7CB}"/>
    <hyperlink ref="Q4" location="'Objeto Dominio N'!A16" display="'Objeto Dominio N'!A16" xr:uid="{1669EBF2-84DE-4EDB-8C3B-38EB8B625A26}"/>
    <hyperlink ref="A1:P1" location="'Listado Objetos de Dominio'!A1" display="&lt;-Volver al inicio" xr:uid="{BCAD9F6E-1607-4E0B-B462-EB54499EDC59}"/>
    <hyperlink ref="A17:B17" location="'Objeto Dominio N'!R4" display="Reponsabilidad 2" xr:uid="{B277CC31-1FF9-434E-B175-6390DDDCA0BE}"/>
    <hyperlink ref="A18:B18" location="'Objeto Dominio N'!R4" display="Reponsabilidad 2" xr:uid="{E490BEBE-F2C8-42E8-BA4E-844CAD152EEC}"/>
    <hyperlink ref="A20:B20" location="'Objeto Dominio N'!R4" display="Reponsabilidad 2" xr:uid="{B09AB360-F9E1-45B7-B298-7227C462C622}"/>
    <hyperlink ref="A19:B19" location="'Objeto Dominio N'!R4" display="Reponsabilidad 2" xr:uid="{65BE0B32-F509-43B1-A41A-5524BDB5C822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63B5-9797-424A-AC25-7D1361978893}">
  <dimension ref="A1:T17"/>
  <sheetViews>
    <sheetView topLeftCell="A6" zoomScale="70" zoomScaleNormal="70" workbookViewId="0">
      <selection activeCell="A18" sqref="A18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18.13281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16384" width="11.3984375" style="1"/>
  </cols>
  <sheetData>
    <row r="1" spans="1:20" x14ac:dyDescent="0.45">
      <c r="A1" s="100" t="s">
        <v>19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spans="1:20" x14ac:dyDescent="0.45">
      <c r="A2" s="4" t="s">
        <v>20</v>
      </c>
      <c r="B2" s="101" t="str">
        <f>'Listado Objetos de Dominio'!$A$6</f>
        <v>Cotización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</row>
    <row r="3" spans="1:20" x14ac:dyDescent="0.45">
      <c r="A3" s="4" t="s">
        <v>21</v>
      </c>
      <c r="B3" s="102" t="str">
        <f>'Listado Objetos de Dominio'!$B$6</f>
        <v>Se refiere a la respuesta que da el proveedor a la solicitud de cotización del cliente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20" x14ac:dyDescent="0.45">
      <c r="A4" s="8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  <c r="L4" s="9" t="s">
        <v>33</v>
      </c>
      <c r="M4" s="9" t="s">
        <v>34</v>
      </c>
      <c r="N4" s="9" t="s">
        <v>35</v>
      </c>
      <c r="O4" s="9" t="s">
        <v>36</v>
      </c>
      <c r="P4" s="10" t="s">
        <v>3</v>
      </c>
      <c r="Q4" s="37" t="str">
        <f>A15</f>
        <v>Crear cotización</v>
      </c>
      <c r="R4" s="35" t="str">
        <f>A16</f>
        <v>Consultar</v>
      </c>
      <c r="S4" s="36" t="str">
        <f>A17</f>
        <v>Editar</v>
      </c>
      <c r="T4" s="2" t="e">
        <f>#REF!</f>
        <v>#REF!</v>
      </c>
    </row>
    <row r="5" spans="1:20" x14ac:dyDescent="0.45">
      <c r="A5" s="11" t="s">
        <v>97</v>
      </c>
      <c r="B5" s="5" t="s">
        <v>121</v>
      </c>
      <c r="C5" s="5">
        <v>1</v>
      </c>
      <c r="D5" s="5">
        <v>15</v>
      </c>
      <c r="E5" s="5"/>
      <c r="F5" s="5"/>
      <c r="G5" s="5"/>
      <c r="H5" s="5" t="s">
        <v>39</v>
      </c>
      <c r="I5" s="5"/>
      <c r="J5" s="13"/>
      <c r="K5" s="12" t="s">
        <v>40</v>
      </c>
      <c r="L5" s="5" t="s">
        <v>41</v>
      </c>
      <c r="M5" s="5" t="s">
        <v>40</v>
      </c>
      <c r="N5" s="5"/>
      <c r="O5" s="5" t="s">
        <v>40</v>
      </c>
      <c r="P5" s="7" t="s">
        <v>122</v>
      </c>
      <c r="Q5" s="34"/>
      <c r="R5" s="23"/>
      <c r="S5" s="28"/>
      <c r="T5" s="31"/>
    </row>
    <row r="6" spans="1:20" x14ac:dyDescent="0.45">
      <c r="A6" s="68" t="s">
        <v>123</v>
      </c>
      <c r="B6" s="69" t="s">
        <v>124</v>
      </c>
      <c r="C6" s="69"/>
      <c r="D6" s="69"/>
      <c r="E6" s="69"/>
      <c r="F6" s="69"/>
      <c r="G6" s="69"/>
      <c r="H6" s="69" t="s">
        <v>43</v>
      </c>
      <c r="I6" s="69"/>
      <c r="J6" s="70"/>
      <c r="K6" s="69" t="s">
        <v>41</v>
      </c>
      <c r="L6" s="69" t="s">
        <v>41</v>
      </c>
      <c r="M6" s="69" t="s">
        <v>40</v>
      </c>
      <c r="N6" s="69"/>
      <c r="O6" s="69"/>
      <c r="P6" s="71" t="s">
        <v>125</v>
      </c>
      <c r="Q6" s="34"/>
      <c r="R6" s="23"/>
      <c r="S6" s="28"/>
      <c r="T6" s="31"/>
    </row>
    <row r="7" spans="1:20" x14ac:dyDescent="0.45">
      <c r="A7" s="68" t="s">
        <v>126</v>
      </c>
      <c r="B7" s="85" t="s">
        <v>124</v>
      </c>
      <c r="C7" s="80"/>
      <c r="D7" s="80"/>
      <c r="E7" s="80"/>
      <c r="F7" s="80"/>
      <c r="G7" s="80"/>
      <c r="H7" s="80"/>
      <c r="I7" s="80"/>
      <c r="J7" s="81"/>
      <c r="K7" s="80" t="s">
        <v>41</v>
      </c>
      <c r="L7" s="80" t="s">
        <v>41</v>
      </c>
      <c r="M7" s="80" t="s">
        <v>40</v>
      </c>
      <c r="N7" s="80"/>
      <c r="O7" s="80"/>
      <c r="P7" s="82" t="s">
        <v>127</v>
      </c>
      <c r="Q7" s="34"/>
      <c r="R7" s="23"/>
      <c r="S7" s="28"/>
      <c r="T7" s="31"/>
    </row>
    <row r="8" spans="1:20" ht="15.75" customHeight="1" x14ac:dyDescent="0.45">
      <c r="A8" s="72" t="s">
        <v>86</v>
      </c>
      <c r="B8" s="85" t="s">
        <v>38</v>
      </c>
      <c r="C8" s="80"/>
      <c r="D8" s="80"/>
      <c r="E8" s="80"/>
      <c r="F8" s="80"/>
      <c r="G8" s="80"/>
      <c r="H8" s="80"/>
      <c r="I8" s="80"/>
      <c r="J8" s="81"/>
      <c r="K8" s="80" t="s">
        <v>41</v>
      </c>
      <c r="L8" s="80" t="s">
        <v>41</v>
      </c>
      <c r="M8" s="80" t="s">
        <v>41</v>
      </c>
      <c r="N8" s="80"/>
      <c r="O8" s="80"/>
      <c r="P8" s="82" t="s">
        <v>128</v>
      </c>
    </row>
    <row r="9" spans="1:20" x14ac:dyDescent="0.45">
      <c r="A9" s="80" t="s">
        <v>129</v>
      </c>
      <c r="B9" s="85" t="s">
        <v>124</v>
      </c>
      <c r="C9" s="80"/>
      <c r="D9" s="80"/>
      <c r="E9" s="80"/>
      <c r="F9" s="80"/>
      <c r="G9" s="80"/>
      <c r="H9" s="80"/>
      <c r="I9" s="86"/>
      <c r="J9" s="81"/>
      <c r="K9" s="85"/>
      <c r="L9" s="80"/>
      <c r="M9" s="80"/>
      <c r="N9" s="80"/>
      <c r="O9" s="80"/>
      <c r="P9" s="82" t="s">
        <v>130</v>
      </c>
    </row>
    <row r="10" spans="1:20" ht="52.5" x14ac:dyDescent="0.45">
      <c r="A10" s="72" t="s">
        <v>131</v>
      </c>
      <c r="B10" s="72" t="s">
        <v>131</v>
      </c>
      <c r="C10" s="72"/>
      <c r="D10" s="72"/>
      <c r="E10" s="72"/>
      <c r="F10" s="72"/>
      <c r="G10" s="72"/>
      <c r="H10" s="72"/>
      <c r="I10" s="83"/>
      <c r="J10" s="75" t="s">
        <v>132</v>
      </c>
      <c r="K10" s="84"/>
      <c r="L10" s="72"/>
      <c r="M10" s="72"/>
      <c r="N10" s="72"/>
      <c r="O10" s="72"/>
      <c r="P10" s="74"/>
    </row>
    <row r="11" spans="1:20" ht="39" customHeight="1" x14ac:dyDescent="0.45">
      <c r="A11" s="14"/>
      <c r="B11" s="15"/>
      <c r="C11" s="38"/>
    </row>
    <row r="13" spans="1:20" x14ac:dyDescent="0.45">
      <c r="A13" s="103" t="s">
        <v>56</v>
      </c>
      <c r="B13" s="104"/>
      <c r="C13" s="104" t="s">
        <v>3</v>
      </c>
      <c r="D13" s="104"/>
      <c r="E13" s="104"/>
      <c r="F13" s="104"/>
      <c r="G13" s="104" t="s">
        <v>57</v>
      </c>
      <c r="H13" s="104"/>
      <c r="I13" s="104"/>
      <c r="J13" s="104" t="s">
        <v>58</v>
      </c>
      <c r="K13" s="104"/>
      <c r="L13" s="104"/>
      <c r="M13" s="104"/>
      <c r="N13" s="104"/>
      <c r="O13" s="104" t="s">
        <v>59</v>
      </c>
      <c r="P13" s="104"/>
      <c r="Q13" s="104" t="s">
        <v>60</v>
      </c>
      <c r="R13" s="107"/>
    </row>
    <row r="14" spans="1:20" x14ac:dyDescent="0.45">
      <c r="A14" s="105"/>
      <c r="B14" s="106"/>
      <c r="C14" s="106"/>
      <c r="D14" s="106"/>
      <c r="E14" s="106"/>
      <c r="F14" s="106"/>
      <c r="G14" s="19" t="s">
        <v>61</v>
      </c>
      <c r="H14" s="19" t="s">
        <v>62</v>
      </c>
      <c r="I14" s="19" t="s">
        <v>3</v>
      </c>
      <c r="J14" s="19" t="s">
        <v>23</v>
      </c>
      <c r="K14" s="106" t="s">
        <v>3</v>
      </c>
      <c r="L14" s="106"/>
      <c r="M14" s="106"/>
      <c r="N14" s="106"/>
      <c r="O14" s="19" t="s">
        <v>63</v>
      </c>
      <c r="P14" s="19" t="s">
        <v>3</v>
      </c>
      <c r="Q14" s="19" t="s">
        <v>64</v>
      </c>
      <c r="R14" s="25" t="s">
        <v>65</v>
      </c>
    </row>
    <row r="15" spans="1:20" ht="45.75" customHeight="1" x14ac:dyDescent="0.45">
      <c r="A15" s="120" t="s">
        <v>133</v>
      </c>
      <c r="B15" s="121"/>
      <c r="C15" s="122" t="s">
        <v>134</v>
      </c>
      <c r="D15" s="122"/>
      <c r="E15" s="122"/>
      <c r="F15" s="122"/>
      <c r="G15" s="20"/>
      <c r="H15" s="21"/>
      <c r="I15" s="22"/>
      <c r="J15" s="21"/>
      <c r="K15" s="110"/>
      <c r="L15" s="110"/>
      <c r="M15" s="110"/>
      <c r="N15" s="110"/>
      <c r="O15" s="20"/>
      <c r="P15" s="20"/>
      <c r="Q15" s="20"/>
      <c r="R15" s="26"/>
    </row>
    <row r="16" spans="1:20" x14ac:dyDescent="0.45">
      <c r="A16" s="120" t="s">
        <v>70</v>
      </c>
      <c r="B16" s="121"/>
      <c r="C16" s="122" t="s">
        <v>135</v>
      </c>
      <c r="D16" s="122"/>
      <c r="E16" s="122"/>
      <c r="F16" s="122"/>
      <c r="G16" s="46"/>
      <c r="H16" s="44"/>
      <c r="I16" s="45"/>
      <c r="J16" s="39"/>
      <c r="K16" s="115"/>
      <c r="L16" s="115"/>
      <c r="M16" s="115"/>
      <c r="N16" s="115"/>
      <c r="O16" s="23"/>
      <c r="P16" s="24"/>
      <c r="Q16" s="24"/>
      <c r="R16" s="27"/>
    </row>
    <row r="17" spans="1:18" x14ac:dyDescent="0.45">
      <c r="A17" s="120" t="s">
        <v>136</v>
      </c>
      <c r="B17" s="121"/>
      <c r="C17" s="122" t="s">
        <v>137</v>
      </c>
      <c r="D17" s="122"/>
      <c r="E17" s="122"/>
      <c r="F17" s="122"/>
      <c r="G17" s="42"/>
      <c r="H17" s="40"/>
      <c r="I17" s="41"/>
      <c r="J17" s="43"/>
      <c r="K17" s="119"/>
      <c r="L17" s="119"/>
      <c r="M17" s="119"/>
      <c r="N17" s="119"/>
      <c r="O17" s="28"/>
      <c r="P17" s="29"/>
      <c r="Q17" s="29"/>
      <c r="R17" s="30"/>
    </row>
  </sheetData>
  <mergeCells count="19">
    <mergeCell ref="A17:B17"/>
    <mergeCell ref="C17:F17"/>
    <mergeCell ref="K17:N17"/>
    <mergeCell ref="Q13:R13"/>
    <mergeCell ref="K14:N14"/>
    <mergeCell ref="A15:B15"/>
    <mergeCell ref="C15:F15"/>
    <mergeCell ref="K15:N15"/>
    <mergeCell ref="A16:B16"/>
    <mergeCell ref="C16:F16"/>
    <mergeCell ref="K16:N16"/>
    <mergeCell ref="A1:P1"/>
    <mergeCell ref="B2:P2"/>
    <mergeCell ref="B3:P3"/>
    <mergeCell ref="A13:B14"/>
    <mergeCell ref="C13:F14"/>
    <mergeCell ref="G13:I13"/>
    <mergeCell ref="J13:N13"/>
    <mergeCell ref="O13:P13"/>
  </mergeCells>
  <hyperlinks>
    <hyperlink ref="A1" location="'Objetos de Dominio'!A1" display="Volver al inicio" xr:uid="{7922586A-43B0-4996-B5A0-AA0B8FA8269B}"/>
    <hyperlink ref="R4" location="'Objeto Dominio N'!A17" display="'Objeto Dominio N'!A17" xr:uid="{ED9D7DC4-FF62-4A4F-A0D3-3C7ED50E6213}"/>
    <hyperlink ref="S4" location="'Objeto Dominio N'!A18" display="'Objeto Dominio N'!A18" xr:uid="{2B83C70A-FF63-4EA3-8912-9E728834A496}"/>
    <hyperlink ref="T4" location="'Objeto Dominio N'!A19" display="'Objeto Dominio N'!A19" xr:uid="{C4D3EA92-AE80-4B47-A81D-E12BA8AF21FC}"/>
    <hyperlink ref="Q4" location="'Objeto Dominio N'!A16" display="'Objeto Dominio N'!A16" xr:uid="{A3CA9667-E06D-4D12-8862-4F3DCEDB5EB3}"/>
    <hyperlink ref="A1:P1" location="'Listado Objetos de Dominio'!A1" display="&lt;-Volver al inicio" xr:uid="{72E5DB56-D670-4154-A746-0C168582DCBA}"/>
    <hyperlink ref="A15:B15" location="'Objeto Dominio N'!R4" display="Reponsabilidad 2" xr:uid="{8DA0B455-A222-40D6-9076-29C01C14B8CB}"/>
    <hyperlink ref="A16:B16" location="'Objeto Dominio N'!R4" display="Reponsabilidad 2" xr:uid="{22876278-8D7C-4AC0-AEE2-94C95AE22BBB}"/>
    <hyperlink ref="A17:B17" location="'Objeto Dominio N'!R4" display="Reponsabilidad 2" xr:uid="{07DE7715-BD7D-4953-8F3F-BC662107BC0D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45CC36234B18439988D70FCB761011" ma:contentTypeVersion="11" ma:contentTypeDescription="Crear nuevo documento." ma:contentTypeScope="" ma:versionID="838e3a2c763845b12a5add168b237922">
  <xsd:schema xmlns:xsd="http://www.w3.org/2001/XMLSchema" xmlns:xs="http://www.w3.org/2001/XMLSchema" xmlns:p="http://schemas.microsoft.com/office/2006/metadata/properties" xmlns:ns2="36cf0646-7300-4608-bcc3-e29ed014863a" xmlns:ns3="734bc881-a844-4d86-9741-49f87248cc41" targetNamespace="http://schemas.microsoft.com/office/2006/metadata/properties" ma:root="true" ma:fieldsID="bc20133c6aef7d024f77859c5ef85cd0" ns2:_="" ns3:_="">
    <xsd:import namespace="36cf0646-7300-4608-bcc3-e29ed014863a"/>
    <xsd:import namespace="734bc881-a844-4d86-9741-49f87248cc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0646-7300-4608-bcc3-e29ed0148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bc881-a844-4d86-9741-49f87248cc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d7f751-9688-420a-8900-5900346a391c}" ma:internalName="TaxCatchAll" ma:showField="CatchAllData" ma:web="734bc881-a844-4d86-9741-49f87248cc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0646-7300-4608-bcc3-e29ed014863a">
      <Terms xmlns="http://schemas.microsoft.com/office/infopath/2007/PartnerControls"/>
    </lcf76f155ced4ddcb4097134ff3c332f>
    <TaxCatchAll xmlns="734bc881-a844-4d86-9741-49f87248cc41" xsi:nil="true"/>
  </documentManagement>
</p:properties>
</file>

<file path=customXml/itemProps1.xml><?xml version="1.0" encoding="utf-8"?>
<ds:datastoreItem xmlns:ds="http://schemas.openxmlformats.org/officeDocument/2006/customXml" ds:itemID="{6724C681-8A04-4D66-BB1C-57F7466573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DCC8AD-D603-4137-80D2-B9E6ABC7F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cf0646-7300-4608-bcc3-e29ed014863a"/>
    <ds:schemaRef ds:uri="734bc881-a844-4d86-9741-49f87248cc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038022-656B-4A1B-A485-51A1972238BD}">
  <ds:schemaRefs>
    <ds:schemaRef ds:uri="http://schemas.microsoft.com/office/2006/metadata/properties"/>
    <ds:schemaRef ds:uri="http://schemas.microsoft.com/office/infopath/2007/PartnerControls"/>
    <ds:schemaRef ds:uri="36cf0646-7300-4608-bcc3-e29ed014863a"/>
    <ds:schemaRef ds:uri="734bc881-a844-4d86-9741-49f87248cc41"/>
  </ds:schemaRefs>
</ds:datastoreItem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Modelo dominio anémico contexto</vt:lpstr>
      <vt:lpstr>Listado Objetos de Dominio</vt:lpstr>
      <vt:lpstr>Valores</vt:lpstr>
      <vt:lpstr>Cliente</vt:lpstr>
      <vt:lpstr>Negocio</vt:lpstr>
      <vt:lpstr>Solicitud cotizacion</vt:lpstr>
      <vt:lpstr>Cotizacion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Kevin Stiven Montoya Prada</cp:lastModifiedBy>
  <cp:revision/>
  <dcterms:created xsi:type="dcterms:W3CDTF">2023-03-15T04:00:09Z</dcterms:created>
  <dcterms:modified xsi:type="dcterms:W3CDTF">2025-12-11T16:36:38Z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0x0101001945CC36234B18439988D70FCB761011</vt:lpwstr>
  </property>
  <property fmtid="{D5CDD505-2E9C-101B-9397-08002B2CF9AE}" pid="12" name="MediaServiceImageTags">
    <vt:lpwstr/>
  </property>
</Properties>
</file>