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G. SISTEMAS\PROYECTO DE GRADO\MARKDOWN\Cotionline-docs\Plantillas\"/>
    </mc:Choice>
  </mc:AlternateContent>
  <xr:revisionPtr revIDLastSave="0" documentId="13_ncr:1_{B49CE452-EBEF-4839-80FA-16707CB14DF0}" xr6:coauthVersionLast="47" xr6:coauthVersionMax="47" xr10:uidLastSave="{00000000-0000-0000-0000-000000000000}"/>
  <bookViews>
    <workbookView xWindow="-98" yWindow="-98" windowWidth="21795" windowHeight="12975" firstSheet="5" activeTab="3" xr2:uid="{36012E7C-B3F4-482B-AC16-7CCB81B9AE88}"/>
  </bookViews>
  <sheets>
    <sheet name="Modelo dominio anémico contexto" sheetId="61" r:id="rId1"/>
    <sheet name="Listado Objetos de Dominio" sheetId="67" r:id="rId2"/>
    <sheet name="Valores" sheetId="69" r:id="rId3"/>
    <sheet name="Cliente" sheetId="66" r:id="rId4"/>
    <sheet name="Negocio" sheetId="24" r:id="rId5"/>
    <sheet name="producto" sheetId="68" r:id="rId6"/>
  </sheets>
  <definedNames>
    <definedName name="_xlnm._FilterDatabase" localSheetId="1" hidden="1">'Listado Objetos de Dominio'!$A$2:$B$5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8" l="1"/>
  <c r="B2" i="68"/>
  <c r="T4" i="68"/>
  <c r="S4" i="68"/>
  <c r="R4" i="68"/>
  <c r="Q4" i="68"/>
  <c r="B3" i="24"/>
  <c r="B2" i="24"/>
  <c r="T4" i="24"/>
  <c r="S4" i="24"/>
  <c r="R4" i="24"/>
  <c r="Q4" i="24"/>
  <c r="T4" i="66"/>
  <c r="S4" i="66"/>
  <c r="R4" i="66"/>
  <c r="B3" i="66"/>
  <c r="B2" i="66"/>
  <c r="Q4" i="66"/>
</calcChain>
</file>

<file path=xl/sharedStrings.xml><?xml version="1.0" encoding="utf-8"?>
<sst xmlns="http://schemas.openxmlformats.org/spreadsheetml/2006/main" count="242" uniqueCount="94">
  <si>
    <t>Subdominio/Contexto:</t>
  </si>
  <si>
    <t>Administrador</t>
  </si>
  <si>
    <t>Nombre</t>
  </si>
  <si>
    <t>Descripción</t>
  </si>
  <si>
    <t>Tipo</t>
  </si>
  <si>
    <t>Contexto</t>
  </si>
  <si>
    <t>Cliente</t>
  </si>
  <si>
    <t>Se refiere al cliente ya registrado en la aplicación</t>
  </si>
  <si>
    <t>Referenciado</t>
  </si>
  <si>
    <t>Negocio</t>
  </si>
  <si>
    <t>Se refiere al negocio que pertenece a un cliente existente</t>
  </si>
  <si>
    <t>Producto</t>
  </si>
  <si>
    <t>Se refiere a los productos que se adicionan en la solicitud de cotizacion del cliente</t>
  </si>
  <si>
    <t>Propio</t>
  </si>
  <si>
    <t>Tipo Objeto Dominio</t>
  </si>
  <si>
    <t>Cuando el objeto de dominio es parte del contexto actual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</si>
  <si>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</si>
  <si>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</si>
  <si>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</si>
  <si>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</si>
  <si>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</si>
  <si>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</si>
  <si>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</si>
  <si>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</si>
  <si>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</si>
  <si>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</si>
  <si>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</si>
  <si>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</si>
  <si>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</si>
  <si>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</si>
  <si>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</si>
  <si>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</si>
  <si>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</si>
  <si>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</si>
  <si>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</si>
  <si>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Alfanumerico</t>
  </si>
  <si>
    <t>Letras y numeros</t>
  </si>
  <si>
    <t>Si</t>
  </si>
  <si>
    <t>No</t>
  </si>
  <si>
    <t>Texto</t>
  </si>
  <si>
    <t>Letras y espacios</t>
  </si>
  <si>
    <t>Nombre del cliente</t>
  </si>
  <si>
    <t>Apellido</t>
  </si>
  <si>
    <t>Apellido del cliente</t>
  </si>
  <si>
    <t>Correo</t>
  </si>
  <si>
    <t>Debe contener el caracter "@" para ser valido</t>
  </si>
  <si>
    <t>Correo electronico del cliente</t>
  </si>
  <si>
    <t>Contraseña</t>
  </si>
  <si>
    <t>Debe contener al menos: una mayuscula, un número</t>
  </si>
  <si>
    <t>Contraseña que asigna el cliente para acceder a la aplicación</t>
  </si>
  <si>
    <t>Ciudad</t>
  </si>
  <si>
    <t>Aplica la regla de negocio establecida en el dominio de Ciudad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</si>
  <si>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</si>
  <si>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</si>
  <si>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</si>
  <si>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</si>
  <si>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</si>
  <si>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</si>
  <si>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</si>
  <si>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</si>
  <si>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</si>
  <si>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</si>
  <si>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</si>
  <si>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</si>
  <si>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Dar de baja</t>
  </si>
  <si>
    <t>Servicio de negocio que permite eliminar completamente a un cliente de la base de datos de la aplicación</t>
  </si>
  <si>
    <t>Identificación del cliente a eliminar</t>
  </si>
  <si>
    <t>un mensaje mostrando que el cliente ha sido eliminado con exito</t>
  </si>
  <si>
    <t>Nit</t>
  </si>
  <si>
    <t>Numero de identificación del negocio, el cual es único</t>
  </si>
  <si>
    <t xml:space="preserve">Nombre del negocio </t>
  </si>
  <si>
    <t>Descripcion</t>
  </si>
  <si>
    <t>Descripcion breve del negocio</t>
  </si>
  <si>
    <t>Dirección</t>
  </si>
  <si>
    <t>Direccion de ubicacion del negocio</t>
  </si>
  <si>
    <t xml:space="preserve">Cliente </t>
  </si>
  <si>
    <t>Aplican la reglas definidas en los requisitos de información de la entidad Cliente</t>
  </si>
  <si>
    <t>Combinaciones únicas</t>
  </si>
  <si>
    <t>Servicio que permite dar de baja a un negocio de un cliente registrado en la aplicación</t>
  </si>
  <si>
    <t>NIT del negocio e identificación del cliente</t>
  </si>
  <si>
    <t>Un mensaje mostrando que la eliminación del negocio ha sido exitosa</t>
  </si>
  <si>
    <t>Código</t>
  </si>
  <si>
    <t>Numero de identificación del producto, el cual es único</t>
  </si>
  <si>
    <t>Nombre del producto</t>
  </si>
  <si>
    <t>Cantidad</t>
  </si>
  <si>
    <t>Numerico</t>
  </si>
  <si>
    <t xml:space="preserve">Cantidad de producto </t>
  </si>
  <si>
    <t>Unidad de medida</t>
  </si>
  <si>
    <t>Unidad de medida del producto</t>
  </si>
  <si>
    <t>Breve descripcion del producto</t>
  </si>
  <si>
    <t>Id</t>
  </si>
  <si>
    <t xml:space="preserve"> </t>
  </si>
  <si>
    <t>Letras, números y simbolos</t>
  </si>
  <si>
    <t>Id del cliente, el cual es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</si>
</sst>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2" applyFill="1" applyBorder="1" applyAlignment="1">
      <alignment vertical="center"/>
    </xf>
    <xf numFmtId="0" fontId="6" fillId="6" borderId="5" xfId="2" applyFont="1" applyFill="1" applyBorder="1" applyAlignment="1">
      <alignment vertical="center"/>
    </xf>
    <xf numFmtId="0" fontId="6" fillId="6" borderId="7" xfId="2" applyFon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6" borderId="8" xfId="0" applyFill="1" applyBorder="1" applyAlignment="1">
      <alignment vertical="center"/>
    </xf>
    <xf numFmtId="0" fontId="0" fillId="6" borderId="8" xfId="0" applyFill="1" applyBorder="1" applyAlignment="1">
      <alignment vertical="center" wrapText="1"/>
    </xf>
    <xf numFmtId="0" fontId="4" fillId="7" borderId="10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4" fillId="7" borderId="11" xfId="0" quotePrefix="1" applyFont="1" applyFill="1" applyBorder="1" applyAlignment="1">
      <alignment vertical="center"/>
    </xf>
    <xf numFmtId="0" fontId="4" fillId="7" borderId="11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quotePrefix="1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4" fillId="6" borderId="12" xfId="0" applyFont="1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4" fillId="7" borderId="14" xfId="0" quotePrefix="1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4</xdr:row>
      <xdr:rowOff>28575</xdr:rowOff>
    </xdr:from>
    <xdr:to>
      <xdr:col>8</xdr:col>
      <xdr:colOff>257175</xdr:colOff>
      <xdr:row>24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004BA-B96A-96AB-2D57-EFD7D364A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790575"/>
          <a:ext cx="5543550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opLeftCell="A2" zoomScale="85" zoomScaleNormal="85" workbookViewId="0">
      <selection activeCell="B6" sqref="B6"/>
    </sheetView>
  </sheetViews>
  <sheetFormatPr baseColWidth="10" defaultColWidth="11.3984375" defaultRowHeight="14.25" x14ac:dyDescent="0.45"/>
  <cols>
    <col min="1" max="16384" width="11.3984375" style="3"/>
  </cols>
  <sheetData>
    <row r="1" spans="1:1" x14ac:dyDescent="0.45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5"/>
  <sheetViews>
    <sheetView zoomScaleNormal="100" workbookViewId="0">
      <pane ySplit="2" topLeftCell="A3" activePane="bottomLeft" state="frozen"/>
      <selection pane="bottomLeft" activeCell="D5" sqref="D5"/>
    </sheetView>
  </sheetViews>
  <sheetFormatPr baseColWidth="10" defaultColWidth="11.3984375" defaultRowHeight="14.25" x14ac:dyDescent="0.45"/>
  <cols>
    <col min="1" max="1" width="21.59765625" style="1" bestFit="1" customWidth="1"/>
    <col min="2" max="2" width="56.265625" style="1" bestFit="1" customWidth="1"/>
    <col min="3" max="3" width="12.3984375" style="1" bestFit="1" customWidth="1"/>
    <col min="4" max="4" width="13.3984375" style="1" bestFit="1" customWidth="1"/>
    <col min="5" max="16384" width="11.3984375" style="1"/>
  </cols>
  <sheetData>
    <row r="1" spans="1:4" x14ac:dyDescent="0.45">
      <c r="A1" s="43" t="s">
        <v>0</v>
      </c>
      <c r="B1" s="66" t="s">
        <v>1</v>
      </c>
      <c r="C1" s="66"/>
      <c r="D1" s="67"/>
    </row>
    <row r="2" spans="1:4" x14ac:dyDescent="0.45">
      <c r="A2" s="44" t="s">
        <v>2</v>
      </c>
      <c r="B2" s="42" t="s">
        <v>3</v>
      </c>
      <c r="C2" s="42" t="s">
        <v>4</v>
      </c>
      <c r="D2" s="45" t="s">
        <v>5</v>
      </c>
    </row>
    <row r="3" spans="1:4" x14ac:dyDescent="0.45">
      <c r="A3" s="33" t="s">
        <v>6</v>
      </c>
      <c r="B3" s="20" t="s">
        <v>7</v>
      </c>
      <c r="C3" s="20" t="s">
        <v>8</v>
      </c>
      <c r="D3" s="25" t="s">
        <v>6</v>
      </c>
    </row>
    <row r="4" spans="1:4" x14ac:dyDescent="0.45">
      <c r="A4" s="33" t="s">
        <v>9</v>
      </c>
      <c r="B4" s="20" t="s">
        <v>10</v>
      </c>
      <c r="C4" s="20" t="s">
        <v>8</v>
      </c>
      <c r="D4" s="25" t="s">
        <v>6</v>
      </c>
    </row>
    <row r="5" spans="1:4" ht="28.5" x14ac:dyDescent="0.45">
      <c r="A5" s="34" t="s">
        <v>11</v>
      </c>
      <c r="B5" s="47" t="s">
        <v>12</v>
      </c>
      <c r="C5" s="46" t="s">
        <v>13</v>
      </c>
      <c r="D5" s="35" t="s">
        <v>1</v>
      </c>
    </row>
  </sheetData>
  <mergeCells count="1">
    <mergeCell ref="B1:D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D8691D-32B3-4891-8170-D76C3B8F74BD}">
          <x14:formula1>
            <xm:f>Valores!$A$3:$A$4</xm:f>
          </x14:formula1>
          <xm:sqref>C3:C5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B9" sqref="B9"/>
    </sheetView>
  </sheetViews>
  <sheetFormatPr baseColWidth="10" defaultColWidth="11.3984375" defaultRowHeight="14.25" x14ac:dyDescent="0.45"/>
  <cols>
    <col min="1" max="1" width="12.86328125" bestFit="1" customWidth="1"/>
    <col min="2" max="2" width="52.73046875" bestFit="1" customWidth="1"/>
  </cols>
  <sheetData>
    <row r="1" spans="1:2" x14ac:dyDescent="0.45">
      <c r="A1" s="68" t="s">
        <v>14</v>
      </c>
      <c r="B1" s="69"/>
    </row>
    <row r="2" spans="1:2" x14ac:dyDescent="0.45">
      <c r="A2" s="36" t="s">
        <v>4</v>
      </c>
      <c r="B2" s="37" t="s">
        <v>3</v>
      </c>
    </row>
    <row r="3" spans="1:2" x14ac:dyDescent="0.45">
      <c r="A3" s="38" t="s">
        <v>13</v>
      </c>
      <c r="B3" s="39" t="s">
        <v>15</v>
      </c>
    </row>
    <row r="4" spans="1:2" ht="14.65" thickBot="1" x14ac:dyDescent="0.5">
      <c r="A4" s="40" t="s">
        <v>8</v>
      </c>
      <c r="B4" s="41" t="s">
        <v>16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T16"/>
  <sheetViews>
    <sheetView tabSelected="1" zoomScale="85" zoomScaleNormal="85" workbookViewId="0">
      <selection activeCell="A9" sqref="A9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20.6640625" style="1" bestFit="1" customWidth="1"/>
    <col min="9" max="9" width="79.265625" style="1" bestFit="1" customWidth="1"/>
    <col min="10" max="10" width="34.2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70" t="s">
        <v>17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20" x14ac:dyDescent="0.45">
      <c r="A2" s="4" t="s">
        <v>18</v>
      </c>
      <c r="B2" s="71" t="str">
        <f>'Listado Objetos de Dominio'!$A$3</f>
        <v>Cliente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20" x14ac:dyDescent="0.45">
      <c r="A3" s="4" t="s">
        <v>19</v>
      </c>
      <c r="B3" s="72" t="str">
        <f>'Listado Objetos de Dominio'!$B$3</f>
        <v>Se refiere al cliente ya registrado en la aplicación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</row>
    <row r="4" spans="1:20" x14ac:dyDescent="0.45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9" t="s">
        <v>34</v>
      </c>
      <c r="P4" s="10" t="s">
        <v>3</v>
      </c>
      <c r="Q4" s="31" t="str">
        <f>A16</f>
        <v>Dar de baja</v>
      </c>
      <c r="R4" s="29" t="e">
        <f>#REF!</f>
        <v>#REF!</v>
      </c>
      <c r="S4" s="30" t="e">
        <f>#REF!</f>
        <v>#REF!</v>
      </c>
      <c r="T4" s="2" t="e">
        <f>#REF!</f>
        <v>#REF!</v>
      </c>
    </row>
    <row r="5" spans="1:20" x14ac:dyDescent="0.45">
      <c r="A5" s="11" t="s">
        <v>90</v>
      </c>
      <c r="B5" s="5" t="s">
        <v>35</v>
      </c>
      <c r="C5" s="5">
        <v>1</v>
      </c>
      <c r="D5" s="5" t="s">
        <v>91</v>
      </c>
      <c r="E5" s="5"/>
      <c r="F5" s="5"/>
      <c r="G5" s="5"/>
      <c r="H5" s="5" t="s">
        <v>92</v>
      </c>
      <c r="I5" s="5"/>
      <c r="J5" s="13"/>
      <c r="K5" s="12" t="s">
        <v>37</v>
      </c>
      <c r="L5" s="5" t="s">
        <v>38</v>
      </c>
      <c r="M5" s="5" t="s">
        <v>37</v>
      </c>
      <c r="N5" s="5"/>
      <c r="O5" s="5" t="s">
        <v>37</v>
      </c>
      <c r="P5" s="7" t="s">
        <v>93</v>
      </c>
      <c r="Q5" s="28"/>
      <c r="R5" s="23"/>
      <c r="S5" s="26"/>
      <c r="T5" s="27"/>
    </row>
    <row r="6" spans="1:20" x14ac:dyDescent="0.45">
      <c r="A6" s="11" t="s">
        <v>2</v>
      </c>
      <c r="B6" s="5" t="s">
        <v>39</v>
      </c>
      <c r="C6" s="5">
        <v>1</v>
      </c>
      <c r="D6" s="5">
        <v>50</v>
      </c>
      <c r="E6" s="5"/>
      <c r="F6" s="5"/>
      <c r="G6" s="5"/>
      <c r="H6" s="5" t="s">
        <v>40</v>
      </c>
      <c r="I6" s="5"/>
      <c r="J6" s="13"/>
      <c r="K6" s="12"/>
      <c r="L6" s="5"/>
      <c r="M6" s="5" t="s">
        <v>37</v>
      </c>
      <c r="N6" s="5"/>
      <c r="O6" s="5"/>
      <c r="P6" s="7" t="s">
        <v>41</v>
      </c>
      <c r="Q6" s="28"/>
      <c r="R6" s="23"/>
      <c r="S6" s="26"/>
      <c r="T6" s="27"/>
    </row>
    <row r="7" spans="1:20" x14ac:dyDescent="0.45">
      <c r="A7" s="11" t="s">
        <v>42</v>
      </c>
      <c r="B7" s="5" t="s">
        <v>39</v>
      </c>
      <c r="C7" s="5">
        <v>1</v>
      </c>
      <c r="D7" s="5">
        <v>50</v>
      </c>
      <c r="E7" s="5"/>
      <c r="F7" s="5"/>
      <c r="G7" s="5"/>
      <c r="H7" s="5" t="s">
        <v>40</v>
      </c>
      <c r="I7" s="5"/>
      <c r="J7" s="6"/>
      <c r="K7" s="5"/>
      <c r="L7" s="5"/>
      <c r="M7" s="5" t="s">
        <v>37</v>
      </c>
      <c r="N7" s="5"/>
      <c r="O7" s="5"/>
      <c r="P7" s="7" t="s">
        <v>43</v>
      </c>
      <c r="Q7" s="28"/>
      <c r="R7" s="23"/>
      <c r="S7" s="26"/>
      <c r="T7" s="27"/>
    </row>
    <row r="8" spans="1:20" x14ac:dyDescent="0.45">
      <c r="A8" s="48" t="s">
        <v>44</v>
      </c>
      <c r="B8" s="49" t="s">
        <v>35</v>
      </c>
      <c r="C8" s="49">
        <v>1</v>
      </c>
      <c r="D8" s="49">
        <v>20</v>
      </c>
      <c r="E8" s="49"/>
      <c r="F8" s="49"/>
      <c r="G8" s="49"/>
      <c r="H8" s="49"/>
      <c r="I8" s="49"/>
      <c r="J8" s="50" t="s">
        <v>45</v>
      </c>
      <c r="K8" s="49" t="s">
        <v>38</v>
      </c>
      <c r="L8" s="49" t="s">
        <v>38</v>
      </c>
      <c r="M8" s="49" t="s">
        <v>37</v>
      </c>
      <c r="N8" s="49"/>
      <c r="O8" s="49"/>
      <c r="P8" s="51" t="s">
        <v>46</v>
      </c>
      <c r="Q8" s="28"/>
      <c r="R8" s="23"/>
      <c r="S8" s="26"/>
      <c r="T8" s="27"/>
    </row>
    <row r="9" spans="1:20" ht="39.4" x14ac:dyDescent="0.45">
      <c r="A9" s="52" t="s">
        <v>47</v>
      </c>
      <c r="B9" s="52" t="s">
        <v>35</v>
      </c>
      <c r="C9" s="52">
        <v>8</v>
      </c>
      <c r="D9" s="52">
        <v>12</v>
      </c>
      <c r="E9" s="52"/>
      <c r="F9" s="52"/>
      <c r="G9" s="52"/>
      <c r="H9" s="52"/>
      <c r="I9" s="52"/>
      <c r="J9" s="53" t="s">
        <v>48</v>
      </c>
      <c r="K9" s="52" t="s">
        <v>38</v>
      </c>
      <c r="L9" s="52" t="s">
        <v>38</v>
      </c>
      <c r="M9" s="52" t="s">
        <v>37</v>
      </c>
      <c r="N9" s="52" t="s">
        <v>37</v>
      </c>
      <c r="O9" s="52"/>
      <c r="P9" s="54" t="s">
        <v>49</v>
      </c>
    </row>
    <row r="10" spans="1:20" ht="39.4" x14ac:dyDescent="0.45">
      <c r="A10" s="52" t="s">
        <v>50</v>
      </c>
      <c r="B10" s="52" t="s">
        <v>50</v>
      </c>
      <c r="C10" s="52"/>
      <c r="D10" s="52"/>
      <c r="E10" s="52"/>
      <c r="F10" s="52"/>
      <c r="G10" s="52"/>
      <c r="H10" s="52"/>
      <c r="I10" s="52"/>
      <c r="J10" s="53" t="s">
        <v>51</v>
      </c>
      <c r="K10" s="52"/>
      <c r="L10" s="52"/>
      <c r="M10" s="52"/>
      <c r="N10" s="52"/>
      <c r="O10" s="52"/>
      <c r="P10" s="54"/>
    </row>
    <row r="11" spans="1:20" x14ac:dyDescent="0.45">
      <c r="A11" s="17" t="s">
        <v>52</v>
      </c>
      <c r="B11" s="16" t="s">
        <v>3</v>
      </c>
      <c r="C11" s="18" t="s">
        <v>53</v>
      </c>
    </row>
    <row r="12" spans="1:20" ht="39" customHeight="1" x14ac:dyDescent="0.45">
      <c r="A12" s="14"/>
      <c r="B12" s="15"/>
      <c r="C12" s="32"/>
    </row>
    <row r="14" spans="1:20" x14ac:dyDescent="0.45">
      <c r="A14" s="73" t="s">
        <v>54</v>
      </c>
      <c r="B14" s="74"/>
      <c r="C14" s="74" t="s">
        <v>3</v>
      </c>
      <c r="D14" s="74"/>
      <c r="E14" s="74"/>
      <c r="F14" s="74"/>
      <c r="G14" s="74" t="s">
        <v>55</v>
      </c>
      <c r="H14" s="74"/>
      <c r="I14" s="74"/>
      <c r="J14" s="74" t="s">
        <v>56</v>
      </c>
      <c r="K14" s="74"/>
      <c r="L14" s="74"/>
      <c r="M14" s="74"/>
      <c r="N14" s="74"/>
      <c r="O14" s="74" t="s">
        <v>57</v>
      </c>
      <c r="P14" s="74"/>
      <c r="Q14" s="74" t="s">
        <v>58</v>
      </c>
      <c r="R14" s="77"/>
    </row>
    <row r="15" spans="1:20" x14ac:dyDescent="0.45">
      <c r="A15" s="75"/>
      <c r="B15" s="76"/>
      <c r="C15" s="76"/>
      <c r="D15" s="76"/>
      <c r="E15" s="76"/>
      <c r="F15" s="76"/>
      <c r="G15" s="19" t="s">
        <v>59</v>
      </c>
      <c r="H15" s="19" t="s">
        <v>60</v>
      </c>
      <c r="I15" s="19" t="s">
        <v>3</v>
      </c>
      <c r="J15" s="19" t="s">
        <v>21</v>
      </c>
      <c r="K15" s="76" t="s">
        <v>3</v>
      </c>
      <c r="L15" s="76"/>
      <c r="M15" s="76"/>
      <c r="N15" s="76"/>
      <c r="O15" s="19" t="s">
        <v>61</v>
      </c>
      <c r="P15" s="19" t="s">
        <v>3</v>
      </c>
      <c r="Q15" s="19" t="s">
        <v>62</v>
      </c>
      <c r="R15" s="24" t="s">
        <v>63</v>
      </c>
    </row>
    <row r="16" spans="1:20" ht="32.25" customHeight="1" x14ac:dyDescent="0.45">
      <c r="A16" s="78" t="s">
        <v>64</v>
      </c>
      <c r="B16" s="79"/>
      <c r="C16" s="80" t="s">
        <v>65</v>
      </c>
      <c r="D16" s="80"/>
      <c r="E16" s="80"/>
      <c r="F16" s="80"/>
      <c r="G16" s="20"/>
      <c r="H16" s="21"/>
      <c r="I16" s="22" t="s">
        <v>66</v>
      </c>
      <c r="J16" s="21"/>
      <c r="K16" s="80" t="s">
        <v>67</v>
      </c>
      <c r="L16" s="80"/>
      <c r="M16" s="80"/>
      <c r="N16" s="80"/>
      <c r="O16" s="20"/>
      <c r="P16" s="20"/>
      <c r="Q16" s="20"/>
      <c r="R16" s="25"/>
    </row>
  </sheetData>
  <mergeCells count="13">
    <mergeCell ref="Q14:R14"/>
    <mergeCell ref="K15:N15"/>
    <mergeCell ref="A16:B16"/>
    <mergeCell ref="C16:F16"/>
    <mergeCell ref="K16:N16"/>
    <mergeCell ref="A1:P1"/>
    <mergeCell ref="B2:P2"/>
    <mergeCell ref="B3:P3"/>
    <mergeCell ref="A14:B15"/>
    <mergeCell ref="C14:F15"/>
    <mergeCell ref="G14:I14"/>
    <mergeCell ref="J14:N14"/>
    <mergeCell ref="O14:P14"/>
  </mergeCells>
  <hyperlinks>
    <hyperlink ref="A1" location="'Objetos de Dominio'!A1" display="Volver al inicio" xr:uid="{F92E8141-0BAA-4CFF-A2AA-790349ADA214}"/>
    <hyperlink ref="R4" location="'Objeto Dominio 2'!A17" display="'Objeto Dominio 2'!A17" xr:uid="{C31578C6-097C-48B5-85BE-E2B5695507BB}"/>
    <hyperlink ref="S4" location="'Objeto Dominio 2'!A18" display="'Objeto Dominio 2'!A18" xr:uid="{12E63051-0357-4C9D-ABE2-AAC9F4D1077D}"/>
    <hyperlink ref="T4" location="'Objeto Dominio 2'!A19" display="'Objeto Dominio 2'!A19" xr:uid="{1EEF2DB2-A99F-4C59-8304-4835FA7407E0}"/>
    <hyperlink ref="A16:B16" location="'Objeto Dominio 2'!Q4" display="Reponsabilidad 1" xr:uid="{22905DC7-C781-450C-BA99-3B5AF5CDD56E}"/>
    <hyperlink ref="Q4" location="'Objeto Dominio 2'!A16" display="'Objeto Dominio 2'!A16" xr:uid="{F66CECC3-2EE1-49F8-9E57-39E041254432}"/>
    <hyperlink ref="A1:P1" location="'Listado Objetos de Dominio'!A1" display="&lt;-Volver al inicio" xr:uid="{BAD90D86-7311-49B0-A802-02D69BE204D5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T17"/>
  <sheetViews>
    <sheetView workbookViewId="0">
      <pane ySplit="2" topLeftCell="A3" activePane="bottomLeft" state="frozen"/>
      <selection pane="bottomLeft" activeCell="C21" sqref="C21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70" t="s">
        <v>17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20" x14ac:dyDescent="0.45">
      <c r="A2" s="4" t="s">
        <v>18</v>
      </c>
      <c r="B2" s="71" t="str">
        <f>'Listado Objetos de Dominio'!$A$4</f>
        <v>Negocio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20" ht="14.65" thickBot="1" x14ac:dyDescent="0.5">
      <c r="A3" s="4" t="s">
        <v>19</v>
      </c>
      <c r="B3" s="72" t="str">
        <f>'Listado Objetos de Dominio'!$B$4</f>
        <v>Se refiere al negocio que pertenece a un cliente existente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</row>
    <row r="4" spans="1:20" x14ac:dyDescent="0.45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9" t="s">
        <v>34</v>
      </c>
      <c r="P4" s="10" t="s">
        <v>3</v>
      </c>
      <c r="Q4" s="31" t="str">
        <f>A17</f>
        <v>Dar de baja</v>
      </c>
      <c r="R4" s="29" t="e">
        <f>#REF!</f>
        <v>#REF!</v>
      </c>
      <c r="S4" s="30" t="e">
        <f>#REF!</f>
        <v>#REF!</v>
      </c>
      <c r="T4" s="2" t="e">
        <f>#REF!</f>
        <v>#REF!</v>
      </c>
    </row>
    <row r="5" spans="1:20" x14ac:dyDescent="0.45">
      <c r="A5" s="11" t="s">
        <v>68</v>
      </c>
      <c r="B5" s="5" t="s">
        <v>35</v>
      </c>
      <c r="C5" s="5">
        <v>1</v>
      </c>
      <c r="D5" s="5">
        <v>15</v>
      </c>
      <c r="E5" s="5"/>
      <c r="F5" s="5"/>
      <c r="G5" s="5"/>
      <c r="H5" s="5" t="s">
        <v>36</v>
      </c>
      <c r="I5" s="5"/>
      <c r="J5" s="13"/>
      <c r="K5" s="12" t="s">
        <v>37</v>
      </c>
      <c r="L5" s="5" t="s">
        <v>38</v>
      </c>
      <c r="M5" s="5" t="s">
        <v>37</v>
      </c>
      <c r="N5" s="5"/>
      <c r="O5" s="5" t="s">
        <v>37</v>
      </c>
      <c r="P5" s="7" t="s">
        <v>69</v>
      </c>
      <c r="Q5" s="28"/>
      <c r="R5" s="23"/>
      <c r="S5" s="26"/>
      <c r="T5" s="27"/>
    </row>
    <row r="6" spans="1:20" x14ac:dyDescent="0.45">
      <c r="A6" s="11" t="s">
        <v>2</v>
      </c>
      <c r="B6" s="5" t="s">
        <v>39</v>
      </c>
      <c r="C6" s="5">
        <v>1</v>
      </c>
      <c r="D6" s="5">
        <v>50</v>
      </c>
      <c r="E6" s="5"/>
      <c r="F6" s="5"/>
      <c r="G6" s="5"/>
      <c r="H6" s="5" t="s">
        <v>40</v>
      </c>
      <c r="I6" s="5"/>
      <c r="J6" s="13"/>
      <c r="K6" s="12"/>
      <c r="L6" s="5"/>
      <c r="M6" s="5" t="s">
        <v>37</v>
      </c>
      <c r="N6" s="5"/>
      <c r="O6" s="5"/>
      <c r="P6" s="7" t="s">
        <v>70</v>
      </c>
      <c r="Q6" s="28"/>
      <c r="R6" s="23"/>
      <c r="S6" s="26"/>
      <c r="T6" s="27"/>
    </row>
    <row r="7" spans="1:20" x14ac:dyDescent="0.45">
      <c r="A7" s="11" t="s">
        <v>71</v>
      </c>
      <c r="B7" s="5" t="s">
        <v>39</v>
      </c>
      <c r="C7" s="5">
        <v>1</v>
      </c>
      <c r="D7" s="5">
        <v>50</v>
      </c>
      <c r="E7" s="5"/>
      <c r="F7" s="5"/>
      <c r="G7" s="5"/>
      <c r="H7" s="5" t="s">
        <v>40</v>
      </c>
      <c r="I7" s="5"/>
      <c r="J7" s="6"/>
      <c r="K7" s="5"/>
      <c r="L7" s="5"/>
      <c r="M7" s="5" t="s">
        <v>37</v>
      </c>
      <c r="N7" s="5"/>
      <c r="O7" s="5"/>
      <c r="P7" s="7" t="s">
        <v>72</v>
      </c>
      <c r="Q7" s="28"/>
      <c r="R7" s="23"/>
      <c r="S7" s="26"/>
      <c r="T7" s="27"/>
    </row>
    <row r="8" spans="1:20" x14ac:dyDescent="0.45">
      <c r="A8" s="48" t="s">
        <v>73</v>
      </c>
      <c r="B8" s="49" t="s">
        <v>35</v>
      </c>
      <c r="C8" s="49">
        <v>1</v>
      </c>
      <c r="D8" s="49">
        <v>20</v>
      </c>
      <c r="E8" s="49"/>
      <c r="F8" s="49"/>
      <c r="G8" s="49"/>
      <c r="H8" s="49" t="s">
        <v>40</v>
      </c>
      <c r="I8" s="49"/>
      <c r="J8" s="50"/>
      <c r="K8" s="49" t="s">
        <v>38</v>
      </c>
      <c r="L8" s="49" t="s">
        <v>38</v>
      </c>
      <c r="M8" s="49" t="s">
        <v>37</v>
      </c>
      <c r="N8" s="49"/>
      <c r="O8" s="49"/>
      <c r="P8" s="51" t="s">
        <v>74</v>
      </c>
      <c r="Q8" s="59"/>
      <c r="R8" s="60"/>
      <c r="S8" s="61"/>
      <c r="T8" s="27"/>
    </row>
    <row r="9" spans="1:20" ht="26.25" x14ac:dyDescent="0.45">
      <c r="A9" s="52" t="s">
        <v>75</v>
      </c>
      <c r="B9" s="52" t="s">
        <v>6</v>
      </c>
      <c r="C9" s="52"/>
      <c r="D9" s="52"/>
      <c r="E9" s="52"/>
      <c r="F9" s="52"/>
      <c r="G9" s="52"/>
      <c r="H9" s="52"/>
      <c r="I9" s="52"/>
      <c r="J9" s="53" t="s">
        <v>76</v>
      </c>
      <c r="K9" s="52"/>
      <c r="L9" s="52"/>
      <c r="M9" s="52"/>
      <c r="N9" s="52"/>
      <c r="O9" s="52"/>
      <c r="P9" s="54"/>
      <c r="Q9" s="56"/>
      <c r="R9" s="57"/>
      <c r="S9" s="58"/>
      <c r="T9" s="55"/>
    </row>
    <row r="10" spans="1:20" ht="14.65" thickBot="1" x14ac:dyDescent="0.5"/>
    <row r="11" spans="1:20" x14ac:dyDescent="0.45">
      <c r="A11" s="81" t="s">
        <v>77</v>
      </c>
      <c r="B11" s="82"/>
      <c r="C11" s="83"/>
    </row>
    <row r="12" spans="1:20" x14ac:dyDescent="0.45">
      <c r="A12" s="17" t="s">
        <v>52</v>
      </c>
      <c r="B12" s="16" t="s">
        <v>3</v>
      </c>
      <c r="C12" s="18" t="s">
        <v>53</v>
      </c>
    </row>
    <row r="13" spans="1:20" ht="39" customHeight="1" thickBot="1" x14ac:dyDescent="0.5">
      <c r="A13" s="14"/>
      <c r="B13" s="15"/>
      <c r="C13" s="32"/>
    </row>
    <row r="15" spans="1:20" x14ac:dyDescent="0.45">
      <c r="A15" s="73" t="s">
        <v>54</v>
      </c>
      <c r="B15" s="74"/>
      <c r="C15" s="74" t="s">
        <v>3</v>
      </c>
      <c r="D15" s="74"/>
      <c r="E15" s="74"/>
      <c r="F15" s="74"/>
      <c r="G15" s="74" t="s">
        <v>55</v>
      </c>
      <c r="H15" s="74"/>
      <c r="I15" s="74"/>
      <c r="J15" s="74" t="s">
        <v>56</v>
      </c>
      <c r="K15" s="74"/>
      <c r="L15" s="74"/>
      <c r="M15" s="74"/>
      <c r="N15" s="74"/>
      <c r="O15" s="74" t="s">
        <v>57</v>
      </c>
      <c r="P15" s="74"/>
      <c r="Q15" s="74" t="s">
        <v>58</v>
      </c>
      <c r="R15" s="77"/>
    </row>
    <row r="16" spans="1:20" x14ac:dyDescent="0.45">
      <c r="A16" s="75"/>
      <c r="B16" s="76"/>
      <c r="C16" s="76"/>
      <c r="D16" s="76"/>
      <c r="E16" s="76"/>
      <c r="F16" s="76"/>
      <c r="G16" s="19" t="s">
        <v>59</v>
      </c>
      <c r="H16" s="19" t="s">
        <v>60</v>
      </c>
      <c r="I16" s="19" t="s">
        <v>3</v>
      </c>
      <c r="J16" s="19" t="s">
        <v>21</v>
      </c>
      <c r="K16" s="76" t="s">
        <v>3</v>
      </c>
      <c r="L16" s="76"/>
      <c r="M16" s="76"/>
      <c r="N16" s="76"/>
      <c r="O16" s="19" t="s">
        <v>61</v>
      </c>
      <c r="P16" s="19" t="s">
        <v>3</v>
      </c>
      <c r="Q16" s="19" t="s">
        <v>62</v>
      </c>
      <c r="R16" s="24" t="s">
        <v>63</v>
      </c>
    </row>
    <row r="17" spans="1:18" ht="41.25" customHeight="1" x14ac:dyDescent="0.45">
      <c r="A17" s="78" t="s">
        <v>64</v>
      </c>
      <c r="B17" s="79"/>
      <c r="C17" s="80" t="s">
        <v>78</v>
      </c>
      <c r="D17" s="80"/>
      <c r="E17" s="80"/>
      <c r="F17" s="80"/>
      <c r="G17" s="20"/>
      <c r="H17" s="21"/>
      <c r="I17" s="22" t="s">
        <v>79</v>
      </c>
      <c r="J17" s="21"/>
      <c r="K17" s="80" t="s">
        <v>80</v>
      </c>
      <c r="L17" s="80"/>
      <c r="M17" s="80"/>
      <c r="N17" s="80"/>
      <c r="O17" s="20"/>
      <c r="P17" s="20"/>
      <c r="Q17" s="20"/>
      <c r="R17" s="25"/>
    </row>
  </sheetData>
  <mergeCells count="14"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A17:B17"/>
    <mergeCell ref="C17:F17"/>
    <mergeCell ref="K17:N17"/>
  </mergeCells>
  <hyperlinks>
    <hyperlink ref="A1" location="'Objetos de Dominio'!A1" display="Volver al inicio" xr:uid="{BD3FFCC5-4B44-4838-A36D-76DB08190487}"/>
    <hyperlink ref="R4" location="'Objeto Dominio 1'!A17" display="'Objeto Dominio 1'!A17" xr:uid="{A2870EFD-A505-493E-87E8-2E1411795896}"/>
    <hyperlink ref="S4" location="'Objeto Dominio 1'!A18" display="'Objeto Dominio 1'!A18" xr:uid="{255B7490-DDA4-4BEF-98CA-B99448352900}"/>
    <hyperlink ref="T4" location="'Objeto Dominio 1'!A19" display="'Objeto Dominio 1'!A19" xr:uid="{706882A1-07E0-4948-8B9C-8861D2CC8FE3}"/>
    <hyperlink ref="A17:B17" location="'Objeto Dominio 1'!Q4" display="Reponsabilidad 1" xr:uid="{D0D0BC22-347D-4800-B48E-FEA2C5DF8B46}"/>
    <hyperlink ref="Q4" location="'Objeto Dominio 1'!A16" display="'Objeto Dominio 1'!A16" xr:uid="{B7DC66C7-CAF0-414F-9819-29E983398B1B}"/>
    <hyperlink ref="A1:P1" location="'Listado Objetos de Dominio'!A1" display="&lt;-Volver al inicio" xr:uid="{EDAD5212-8D62-4F21-A63F-5CE874FBE7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14"/>
  <sheetViews>
    <sheetView zoomScale="70" zoomScaleNormal="70" workbookViewId="0">
      <selection activeCell="A15" sqref="A15:XFD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7.7304687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70" t="s">
        <v>17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20" x14ac:dyDescent="0.45">
      <c r="A2" s="4" t="s">
        <v>18</v>
      </c>
      <c r="B2" s="71" t="str">
        <f>'Listado Objetos de Dominio'!$A$5</f>
        <v>Producto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20" x14ac:dyDescent="0.45">
      <c r="A3" s="4" t="s">
        <v>19</v>
      </c>
      <c r="B3" s="72" t="str">
        <f>'Listado Objetos de Dominio'!$B$5</f>
        <v>Se refiere a los productos que se adicionan en la solicitud de cotizacion del cliente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</row>
    <row r="4" spans="1:20" x14ac:dyDescent="0.45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9" t="s">
        <v>34</v>
      </c>
      <c r="P4" s="10" t="s">
        <v>3</v>
      </c>
      <c r="Q4" s="31" t="e">
        <f>#REF!</f>
        <v>#REF!</v>
      </c>
      <c r="R4" s="29" t="e">
        <f>#REF!</f>
        <v>#REF!</v>
      </c>
      <c r="S4" s="30" t="e">
        <f>#REF!</f>
        <v>#REF!</v>
      </c>
      <c r="T4" s="2" t="e">
        <f>#REF!</f>
        <v>#REF!</v>
      </c>
    </row>
    <row r="5" spans="1:20" x14ac:dyDescent="0.45">
      <c r="A5" s="11" t="s">
        <v>81</v>
      </c>
      <c r="B5" s="5" t="s">
        <v>35</v>
      </c>
      <c r="C5" s="5">
        <v>1</v>
      </c>
      <c r="D5" s="5">
        <v>15</v>
      </c>
      <c r="E5" s="5"/>
      <c r="F5" s="5"/>
      <c r="G5" s="5"/>
      <c r="H5" s="5" t="s">
        <v>36</v>
      </c>
      <c r="I5" s="5"/>
      <c r="J5" s="13"/>
      <c r="K5" s="12" t="s">
        <v>37</v>
      </c>
      <c r="L5" s="5" t="s">
        <v>38</v>
      </c>
      <c r="M5" s="5" t="s">
        <v>37</v>
      </c>
      <c r="N5" s="5"/>
      <c r="O5" s="5" t="s">
        <v>37</v>
      </c>
      <c r="P5" s="7" t="s">
        <v>82</v>
      </c>
      <c r="Q5" s="28"/>
      <c r="R5" s="23"/>
      <c r="S5" s="26"/>
      <c r="T5" s="27"/>
    </row>
    <row r="6" spans="1:20" x14ac:dyDescent="0.45">
      <c r="A6" s="48" t="s">
        <v>2</v>
      </c>
      <c r="B6" s="49" t="s">
        <v>35</v>
      </c>
      <c r="C6" s="49">
        <v>1</v>
      </c>
      <c r="D6" s="49">
        <v>50</v>
      </c>
      <c r="E6" s="49"/>
      <c r="F6" s="49"/>
      <c r="G6" s="49"/>
      <c r="H6" s="49"/>
      <c r="I6" s="49"/>
      <c r="J6" s="50"/>
      <c r="K6" s="49" t="s">
        <v>38</v>
      </c>
      <c r="L6" s="49" t="s">
        <v>38</v>
      </c>
      <c r="M6" s="49" t="s">
        <v>37</v>
      </c>
      <c r="N6" s="49"/>
      <c r="O6" s="49"/>
      <c r="P6" s="51" t="s">
        <v>83</v>
      </c>
      <c r="Q6" s="28"/>
      <c r="R6" s="23"/>
      <c r="S6" s="26"/>
      <c r="T6" s="27"/>
    </row>
    <row r="7" spans="1:20" x14ac:dyDescent="0.45">
      <c r="A7" s="48" t="s">
        <v>84</v>
      </c>
      <c r="B7" s="49" t="s">
        <v>85</v>
      </c>
      <c r="C7" s="49"/>
      <c r="D7" s="49"/>
      <c r="E7" s="49"/>
      <c r="F7" s="49"/>
      <c r="G7" s="49"/>
      <c r="H7" s="49"/>
      <c r="I7" s="49"/>
      <c r="J7" s="50"/>
      <c r="K7" s="49" t="s">
        <v>38</v>
      </c>
      <c r="L7" s="49" t="s">
        <v>38</v>
      </c>
      <c r="M7" s="49" t="s">
        <v>37</v>
      </c>
      <c r="N7" s="49"/>
      <c r="O7" s="49"/>
      <c r="P7" s="51" t="s">
        <v>86</v>
      </c>
      <c r="Q7" s="28"/>
      <c r="R7" s="23"/>
      <c r="S7" s="26"/>
      <c r="T7" s="27"/>
    </row>
    <row r="8" spans="1:20" x14ac:dyDescent="0.45">
      <c r="A8" s="52" t="s">
        <v>87</v>
      </c>
      <c r="B8" s="62" t="s">
        <v>35</v>
      </c>
      <c r="C8" s="63"/>
      <c r="D8" s="63"/>
      <c r="E8" s="63"/>
      <c r="F8" s="63"/>
      <c r="G8" s="63"/>
      <c r="H8" s="63"/>
      <c r="I8" s="63"/>
      <c r="J8" s="64"/>
      <c r="K8" s="63" t="s">
        <v>38</v>
      </c>
      <c r="L8" s="63" t="s">
        <v>38</v>
      </c>
      <c r="M8" s="63" t="s">
        <v>37</v>
      </c>
      <c r="N8" s="63"/>
      <c r="O8" s="63"/>
      <c r="P8" s="65" t="s">
        <v>88</v>
      </c>
      <c r="Q8" s="28"/>
      <c r="R8" s="23"/>
      <c r="S8" s="26"/>
      <c r="T8" s="27"/>
    </row>
    <row r="9" spans="1:20" ht="15.75" customHeight="1" x14ac:dyDescent="0.45">
      <c r="A9" s="52" t="s">
        <v>71</v>
      </c>
      <c r="B9" s="62" t="s">
        <v>35</v>
      </c>
      <c r="C9" s="63"/>
      <c r="D9" s="63"/>
      <c r="E9" s="63"/>
      <c r="F9" s="63"/>
      <c r="G9" s="63"/>
      <c r="H9" s="63"/>
      <c r="I9" s="63"/>
      <c r="J9" s="64"/>
      <c r="K9" s="63" t="s">
        <v>38</v>
      </c>
      <c r="L9" s="63" t="s">
        <v>38</v>
      </c>
      <c r="M9" s="63" t="s">
        <v>38</v>
      </c>
      <c r="N9" s="63"/>
      <c r="O9" s="63"/>
      <c r="P9" s="65" t="s">
        <v>89</v>
      </c>
    </row>
    <row r="10" spans="1:20" x14ac:dyDescent="0.45">
      <c r="A10" s="17" t="s">
        <v>52</v>
      </c>
      <c r="B10" s="16" t="s">
        <v>3</v>
      </c>
      <c r="C10" s="18" t="s">
        <v>53</v>
      </c>
    </row>
    <row r="11" spans="1:20" ht="39" customHeight="1" x14ac:dyDescent="0.45">
      <c r="A11" s="14"/>
      <c r="B11" s="15"/>
      <c r="C11" s="32"/>
    </row>
    <row r="12" spans="1:20" ht="14.65" thickBot="1" x14ac:dyDescent="0.5"/>
    <row r="13" spans="1:20" x14ac:dyDescent="0.45">
      <c r="A13" s="73" t="s">
        <v>54</v>
      </c>
      <c r="B13" s="74"/>
      <c r="C13" s="74" t="s">
        <v>3</v>
      </c>
      <c r="D13" s="74"/>
      <c r="E13" s="74"/>
      <c r="F13" s="74"/>
      <c r="G13" s="74" t="s">
        <v>55</v>
      </c>
      <c r="H13" s="74"/>
      <c r="I13" s="74"/>
      <c r="J13" s="74" t="s">
        <v>56</v>
      </c>
      <c r="K13" s="74"/>
      <c r="L13" s="74"/>
      <c r="M13" s="74"/>
      <c r="N13" s="74"/>
      <c r="O13" s="74" t="s">
        <v>57</v>
      </c>
      <c r="P13" s="74"/>
      <c r="Q13" s="74" t="s">
        <v>58</v>
      </c>
      <c r="R13" s="77"/>
    </row>
    <row r="14" spans="1:20" x14ac:dyDescent="0.45">
      <c r="A14" s="75"/>
      <c r="B14" s="76"/>
      <c r="C14" s="76"/>
      <c r="D14" s="76"/>
      <c r="E14" s="76"/>
      <c r="F14" s="76"/>
      <c r="G14" s="19" t="s">
        <v>59</v>
      </c>
      <c r="H14" s="19" t="s">
        <v>60</v>
      </c>
      <c r="I14" s="19" t="s">
        <v>3</v>
      </c>
      <c r="J14" s="19" t="s">
        <v>21</v>
      </c>
      <c r="K14" s="76" t="s">
        <v>3</v>
      </c>
      <c r="L14" s="76"/>
      <c r="M14" s="76"/>
      <c r="N14" s="76"/>
      <c r="O14" s="19" t="s">
        <v>61</v>
      </c>
      <c r="P14" s="19" t="s">
        <v>3</v>
      </c>
      <c r="Q14" s="19" t="s">
        <v>62</v>
      </c>
      <c r="R14" s="24" t="s">
        <v>63</v>
      </c>
    </row>
  </sheetData>
  <mergeCells count="10">
    <mergeCell ref="A1:P1"/>
    <mergeCell ref="B2:P2"/>
    <mergeCell ref="B3:P3"/>
    <mergeCell ref="O13:P13"/>
    <mergeCell ref="Q13:R13"/>
    <mergeCell ref="K14:N14"/>
    <mergeCell ref="A13:B14"/>
    <mergeCell ref="C13:F14"/>
    <mergeCell ref="G13:I13"/>
    <mergeCell ref="J13:N13"/>
  </mergeCells>
  <hyperlinks>
    <hyperlink ref="A1" location="'Objetos de Dominio'!A1" display="Volver al inicio" xr:uid="{0B6B7A21-4F42-4461-B988-DE8CBBB8B21F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38e3a2c763845b12a5add168b237922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bc20133c6aef7d024f77859c5ef85cd0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38022-656B-4A1B-A485-51A1972238BD}">
  <ds:schemaRefs>
    <ds:schemaRef ds:uri="http://schemas.microsoft.com/office/2006/metadata/properties"/>
    <ds:schemaRef ds:uri="http://schemas.microsoft.com/office/infopath/2007/PartnerControls"/>
    <ds:schemaRef ds:uri="36cf0646-7300-4608-bcc3-e29ed014863a"/>
    <ds:schemaRef ds:uri="734bc881-a844-4d86-9741-49f87248cc41"/>
  </ds:schemaRefs>
</ds:datastoreItem>
</file>

<file path=customXml/itemProps2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BE542-CC12-45D8-B6EB-34F43E5CF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0646-7300-4608-bcc3-e29ed014863a"/>
    <ds:schemaRef ds:uri="734bc881-a844-4d86-9741-49f87248cc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Modelo dominio anémico contexto</vt:lpstr>
      <vt:lpstr>Listado Objetos de Dominio</vt:lpstr>
      <vt:lpstr>Valores</vt:lpstr>
      <vt:lpstr>Cliente</vt:lpstr>
      <vt:lpstr>Negocio</vt:lpstr>
      <vt:lpstr>producto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2023-03-15T04:00:09Z</dcterms:created>
  <dcterms:modified xsi:type="dcterms:W3CDTF">2025-12-11T16:38:12Z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